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TNT onl\"/>
    </mc:Choice>
  </mc:AlternateContent>
  <xr:revisionPtr revIDLastSave="0" documentId="13_ncr:1_{931A3D35-23AE-4CA7-968A-F84EBAB52D5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nhsachsv" sheetId="1" r:id="rId1"/>
  </sheets>
  <calcPr calcId="191029" calcOnSave="0"/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I4" i="1"/>
  <c r="J4" i="1" s="1"/>
  <c r="W4" i="1"/>
  <c r="V4" i="1"/>
  <c r="P78" i="1"/>
</calcChain>
</file>

<file path=xl/sharedStrings.xml><?xml version="1.0" encoding="utf-8"?>
<sst xmlns="http://schemas.openxmlformats.org/spreadsheetml/2006/main" count="636" uniqueCount="396">
  <si>
    <t>STT</t>
  </si>
  <si>
    <t>Mã sinh viên</t>
  </si>
  <si>
    <t>Họ lót</t>
  </si>
  <si>
    <t>Tên</t>
  </si>
  <si>
    <t>Mã lớp</t>
  </si>
  <si>
    <t>ĐT liên lạc</t>
  </si>
  <si>
    <t>1</t>
  </si>
  <si>
    <t>2119110034</t>
  </si>
  <si>
    <t>Nguyễn Hoàng Tuấn</t>
  </si>
  <si>
    <t>Anh</t>
  </si>
  <si>
    <t>CCQ1911B</t>
  </si>
  <si>
    <t>2</t>
  </si>
  <si>
    <t>2119110035</t>
  </si>
  <si>
    <t>Trần Xuân</t>
  </si>
  <si>
    <t>Bách</t>
  </si>
  <si>
    <t>3</t>
  </si>
  <si>
    <t>2119110036</t>
  </si>
  <si>
    <t>Nguyễn Hương</t>
  </si>
  <si>
    <t>Bình</t>
  </si>
  <si>
    <t>4</t>
  </si>
  <si>
    <t>2119110001</t>
  </si>
  <si>
    <t>Nguyễn Thanh</t>
  </si>
  <si>
    <t>CCQ1911A</t>
  </si>
  <si>
    <t>5</t>
  </si>
  <si>
    <t>2119110037</t>
  </si>
  <si>
    <t>Nguyễn Duy</t>
  </si>
  <si>
    <t>Cảnh</t>
  </si>
  <si>
    <t>6</t>
  </si>
  <si>
    <t>2119110038</t>
  </si>
  <si>
    <t>Lương Phúc</t>
  </si>
  <si>
    <t>Chương</t>
  </si>
  <si>
    <t>7</t>
  </si>
  <si>
    <t>2119110039</t>
  </si>
  <si>
    <t>Nguyễn Ngọc</t>
  </si>
  <si>
    <t>Cường</t>
  </si>
  <si>
    <t>8</t>
  </si>
  <si>
    <t>2119110040</t>
  </si>
  <si>
    <t>Nguyễn Thị Linh</t>
  </si>
  <si>
    <t>Diệu</t>
  </si>
  <si>
    <t>9</t>
  </si>
  <si>
    <t>2119110354</t>
  </si>
  <si>
    <t>Lê Trần Đức</t>
  </si>
  <si>
    <t>Doanh</t>
  </si>
  <si>
    <t>CCQ1911I</t>
  </si>
  <si>
    <t>10</t>
  </si>
  <si>
    <t>2119110003</t>
  </si>
  <si>
    <t>Đỗ Mai Khánh</t>
  </si>
  <si>
    <t>Duy</t>
  </si>
  <si>
    <t>11</t>
  </si>
  <si>
    <t>2119110041</t>
  </si>
  <si>
    <t>Nguyễn Minh</t>
  </si>
  <si>
    <t>Đức</t>
  </si>
  <si>
    <t>12</t>
  </si>
  <si>
    <t>2119110279</t>
  </si>
  <si>
    <t>Phan Tấn</t>
  </si>
  <si>
    <t>13</t>
  </si>
  <si>
    <t>2119110005</t>
  </si>
  <si>
    <t>Nguyễn Võ Trường</t>
  </si>
  <si>
    <t>Giang</t>
  </si>
  <si>
    <t>14</t>
  </si>
  <si>
    <t>2119110285</t>
  </si>
  <si>
    <t>Lê Thanh</t>
  </si>
  <si>
    <t>Hải</t>
  </si>
  <si>
    <t>15</t>
  </si>
  <si>
    <t>2119110006</t>
  </si>
  <si>
    <t>Phan Công</t>
  </si>
  <si>
    <t>Hậu</t>
  </si>
  <si>
    <t>16</t>
  </si>
  <si>
    <t>2119110010</t>
  </si>
  <si>
    <t>Đoàn Thị</t>
  </si>
  <si>
    <t>Hoa</t>
  </si>
  <si>
    <t>17</t>
  </si>
  <si>
    <t>2119110011</t>
  </si>
  <si>
    <t>Phan Mạc Minh</t>
  </si>
  <si>
    <t>Hóa</t>
  </si>
  <si>
    <t>18</t>
  </si>
  <si>
    <t>2119110043</t>
  </si>
  <si>
    <t>Nguyễn Thị Hồng</t>
  </si>
  <si>
    <t>Huê</t>
  </si>
  <si>
    <t>19</t>
  </si>
  <si>
    <t>2119110289</t>
  </si>
  <si>
    <t>Huỳnh Hữu</t>
  </si>
  <si>
    <t>Huy</t>
  </si>
  <si>
    <t>20</t>
  </si>
  <si>
    <t>2119110044</t>
  </si>
  <si>
    <t>Huỳnh Quốc</t>
  </si>
  <si>
    <t>21</t>
  </si>
  <si>
    <t>2119110288</t>
  </si>
  <si>
    <t>Nguyễn Đức</t>
  </si>
  <si>
    <t>22</t>
  </si>
  <si>
    <t>2119110290</t>
  </si>
  <si>
    <t>Nguyễn Quang</t>
  </si>
  <si>
    <t>23</t>
  </si>
  <si>
    <t>2119110012</t>
  </si>
  <si>
    <t>Phạm Tấn</t>
  </si>
  <si>
    <t>24</t>
  </si>
  <si>
    <t>2119110045</t>
  </si>
  <si>
    <t>Trần Quốc</t>
  </si>
  <si>
    <t>25</t>
  </si>
  <si>
    <t>2119110046</t>
  </si>
  <si>
    <t>Ngô Thị</t>
  </si>
  <si>
    <t>Huỳnh</t>
  </si>
  <si>
    <t>26</t>
  </si>
  <si>
    <t>2119110292</t>
  </si>
  <si>
    <t>Nguyễn Cẩm</t>
  </si>
  <si>
    <t>Hường</t>
  </si>
  <si>
    <t>27</t>
  </si>
  <si>
    <t>2119110013</t>
  </si>
  <si>
    <t>Nguyễn Thành</t>
  </si>
  <si>
    <t>Khang</t>
  </si>
  <si>
    <t>28</t>
  </si>
  <si>
    <t>2119110293</t>
  </si>
  <si>
    <t>Lê Hữu</t>
  </si>
  <si>
    <t>Khánh</t>
  </si>
  <si>
    <t>29</t>
  </si>
  <si>
    <t>2119110015</t>
  </si>
  <si>
    <t>Huỳnh Võ Trung</t>
  </si>
  <si>
    <t>Kiên</t>
  </si>
  <si>
    <t>30</t>
  </si>
  <si>
    <t>2119180056</t>
  </si>
  <si>
    <t>Nguyễn Trung</t>
  </si>
  <si>
    <t>31</t>
  </si>
  <si>
    <t>2119110016</t>
  </si>
  <si>
    <t>Nguyễn Thị Ngọc</t>
  </si>
  <si>
    <t>Kiều</t>
  </si>
  <si>
    <t>32</t>
  </si>
  <si>
    <t>2119110048</t>
  </si>
  <si>
    <t>Cao Ngọc</t>
  </si>
  <si>
    <t>Lâm</t>
  </si>
  <si>
    <t>33</t>
  </si>
  <si>
    <t>2119110049</t>
  </si>
  <si>
    <t>Trảo Thanh</t>
  </si>
  <si>
    <t>34</t>
  </si>
  <si>
    <t>2119110019</t>
  </si>
  <si>
    <t>Trương Trịnh Nhật</t>
  </si>
  <si>
    <t>Linh</t>
  </si>
  <si>
    <t>35</t>
  </si>
  <si>
    <t>2119110295</t>
  </si>
  <si>
    <t>Ngô Gia</t>
  </si>
  <si>
    <t>Lộc</t>
  </si>
  <si>
    <t>36</t>
  </si>
  <si>
    <t>2119110296</t>
  </si>
  <si>
    <t>Ngô Xuân</t>
  </si>
  <si>
    <t>Luân</t>
  </si>
  <si>
    <t>37</t>
  </si>
  <si>
    <t>2119110297</t>
  </si>
  <si>
    <t>Nguyễn Thị Quỳnh</t>
  </si>
  <si>
    <t>Ly</t>
  </si>
  <si>
    <t>38</t>
  </si>
  <si>
    <t>2119110051</t>
  </si>
  <si>
    <t>Nguyễn Văn</t>
  </si>
  <si>
    <t>Nhân</t>
  </si>
  <si>
    <t>39</t>
  </si>
  <si>
    <t>2119110052</t>
  </si>
  <si>
    <t>Đỗ Đức</t>
  </si>
  <si>
    <t>Nhất</t>
  </si>
  <si>
    <t>40</t>
  </si>
  <si>
    <t>2119110299</t>
  </si>
  <si>
    <t>Như</t>
  </si>
  <si>
    <t>41</t>
  </si>
  <si>
    <t>2119110021</t>
  </si>
  <si>
    <t>Nguyễn Xuân</t>
  </si>
  <si>
    <t>Quang</t>
  </si>
  <si>
    <t>42</t>
  </si>
  <si>
    <t>2119110022</t>
  </si>
  <si>
    <t>Lê Ngũ</t>
  </si>
  <si>
    <t>Quân</t>
  </si>
  <si>
    <t>43</t>
  </si>
  <si>
    <t>2118170591</t>
  </si>
  <si>
    <t>Mai Văn</t>
  </si>
  <si>
    <t>CCQ1811E</t>
  </si>
  <si>
    <t>44</t>
  </si>
  <si>
    <t>2119110053</t>
  </si>
  <si>
    <t>Lê Anh</t>
  </si>
  <si>
    <t>Quốc</t>
  </si>
  <si>
    <t>45</t>
  </si>
  <si>
    <t>2119110023</t>
  </si>
  <si>
    <t>Trần Bảo</t>
  </si>
  <si>
    <t>Sơn</t>
  </si>
  <si>
    <t>46</t>
  </si>
  <si>
    <t>2119110025</t>
  </si>
  <si>
    <t>Lê Vũ</t>
  </si>
  <si>
    <t>Tài</t>
  </si>
  <si>
    <t>47</t>
  </si>
  <si>
    <t>2119110024</t>
  </si>
  <si>
    <t>Trương Đức</t>
  </si>
  <si>
    <t>48</t>
  </si>
  <si>
    <t>2119110356</t>
  </si>
  <si>
    <t>Trần Minh</t>
  </si>
  <si>
    <t>Tâm</t>
  </si>
  <si>
    <t>49</t>
  </si>
  <si>
    <t>2119110055</t>
  </si>
  <si>
    <t>Đào Duy</t>
  </si>
  <si>
    <t>Thật</t>
  </si>
  <si>
    <t>50</t>
  </si>
  <si>
    <t>2119110057</t>
  </si>
  <si>
    <t>Huỳnh Văn</t>
  </si>
  <si>
    <t>Thịnh</t>
  </si>
  <si>
    <t>51</t>
  </si>
  <si>
    <t>2119110026</t>
  </si>
  <si>
    <t>52</t>
  </si>
  <si>
    <t>2119110058</t>
  </si>
  <si>
    <t>Huỳnh Thị Kim</t>
  </si>
  <si>
    <t>Thuận</t>
  </si>
  <si>
    <t>53</t>
  </si>
  <si>
    <t>2119110059</t>
  </si>
  <si>
    <t>Lê Nhật</t>
  </si>
  <si>
    <t>54</t>
  </si>
  <si>
    <t>2119110301</t>
  </si>
  <si>
    <t>Võ Minh</t>
  </si>
  <si>
    <t>55</t>
  </si>
  <si>
    <t>2119110343</t>
  </si>
  <si>
    <t>Bùi Anh</t>
  </si>
  <si>
    <t>Thư</t>
  </si>
  <si>
    <t>56</t>
  </si>
  <si>
    <t>2119110028</t>
  </si>
  <si>
    <t>Tô Văn</t>
  </si>
  <si>
    <t>Tích</t>
  </si>
  <si>
    <t>57</t>
  </si>
  <si>
    <t>2119110061</t>
  </si>
  <si>
    <t>Nguyễn Quốc</t>
  </si>
  <si>
    <t>Toàn</t>
  </si>
  <si>
    <t>58</t>
  </si>
  <si>
    <t>2119110062</t>
  </si>
  <si>
    <t>Toán</t>
  </si>
  <si>
    <t>59</t>
  </si>
  <si>
    <t>2119110063</t>
  </si>
  <si>
    <t>Đỗ Thị Minh</t>
  </si>
  <si>
    <t>Trang</t>
  </si>
  <si>
    <t>60</t>
  </si>
  <si>
    <t>2119110064</t>
  </si>
  <si>
    <t>Võ Huỳnh Phát</t>
  </si>
  <si>
    <t>Triệu</t>
  </si>
  <si>
    <t>61</t>
  </si>
  <si>
    <t>2119110029</t>
  </si>
  <si>
    <t>Đoàn Văn</t>
  </si>
  <si>
    <t>Trọng</t>
  </si>
  <si>
    <t>62</t>
  </si>
  <si>
    <t>2119110030</t>
  </si>
  <si>
    <t>Phan Nguyễn Quốc</t>
  </si>
  <si>
    <t>Trung</t>
  </si>
  <si>
    <t>63</t>
  </si>
  <si>
    <t>2118110401</t>
  </si>
  <si>
    <t>Phan Thanh</t>
  </si>
  <si>
    <t>Tuấn</t>
  </si>
  <si>
    <t>64</t>
  </si>
  <si>
    <t>2119110065</t>
  </si>
  <si>
    <t>Triệu Minh</t>
  </si>
  <si>
    <t>65</t>
  </si>
  <si>
    <t>2119110032</t>
  </si>
  <si>
    <t>Phạm Đình</t>
  </si>
  <si>
    <t>Tường</t>
  </si>
  <si>
    <t>66</t>
  </si>
  <si>
    <t>2119110033</t>
  </si>
  <si>
    <t>Huỳnh Thúy</t>
  </si>
  <si>
    <t>Vân</t>
  </si>
  <si>
    <t>67</t>
  </si>
  <si>
    <t>2119110066</t>
  </si>
  <si>
    <t>Nguyễn Hoàng</t>
  </si>
  <si>
    <t>Việt</t>
  </si>
  <si>
    <t>68</t>
  </si>
  <si>
    <t>2119110067</t>
  </si>
  <si>
    <t>Cao Đình</t>
  </si>
  <si>
    <t>Vũ</t>
  </si>
  <si>
    <t>69</t>
  </si>
  <si>
    <t>2119110306</t>
  </si>
  <si>
    <t>Trần Nguyên</t>
  </si>
  <si>
    <t>70</t>
  </si>
  <si>
    <t>2117110277</t>
  </si>
  <si>
    <t>Lê Đình</t>
  </si>
  <si>
    <t>Vương</t>
  </si>
  <si>
    <t>CCQ1711D</t>
  </si>
  <si>
    <t>0369559724</t>
  </si>
  <si>
    <t>0383139036</t>
  </si>
  <si>
    <t>0912588237</t>
  </si>
  <si>
    <t>0396682348</t>
  </si>
  <si>
    <t>0386174599</t>
  </si>
  <si>
    <t>0339677069</t>
  </si>
  <si>
    <t>0353591917</t>
  </si>
  <si>
    <t>0378072158</t>
  </si>
  <si>
    <t>0369176780</t>
  </si>
  <si>
    <t>0385254709</t>
  </si>
  <si>
    <t>0383012811</t>
  </si>
  <si>
    <t>0965893470</t>
  </si>
  <si>
    <t>0911416487</t>
  </si>
  <si>
    <t>0937378275</t>
  </si>
  <si>
    <t>0842412379</t>
  </si>
  <si>
    <t>0368996653</t>
  </si>
  <si>
    <t>0384485098</t>
  </si>
  <si>
    <t>0345085903</t>
  </si>
  <si>
    <t>0362174512</t>
  </si>
  <si>
    <t>0334165598</t>
  </si>
  <si>
    <t>0947088144</t>
  </si>
  <si>
    <t>0774701253</t>
  </si>
  <si>
    <t>0523690081</t>
  </si>
  <si>
    <t>0976541718</t>
  </si>
  <si>
    <t>0946894251</t>
  </si>
  <si>
    <t>0359168403</t>
  </si>
  <si>
    <t>0704880256</t>
  </si>
  <si>
    <t>0855434794</t>
  </si>
  <si>
    <t>039414159</t>
  </si>
  <si>
    <t>0973748320</t>
  </si>
  <si>
    <t>0372505402</t>
  </si>
  <si>
    <t>0367153393</t>
  </si>
  <si>
    <t>0964360049</t>
  </si>
  <si>
    <t>0343094435</t>
  </si>
  <si>
    <t>0336981182</t>
  </si>
  <si>
    <t>0896958751</t>
  </si>
  <si>
    <t>0587831007</t>
  </si>
  <si>
    <t>0981629548</t>
  </si>
  <si>
    <t>0348317156</t>
  </si>
  <si>
    <t>0969905013</t>
  </si>
  <si>
    <t>0394166957</t>
  </si>
  <si>
    <t>0325088887</t>
  </si>
  <si>
    <t>0948839196</t>
  </si>
  <si>
    <t>0374852513</t>
  </si>
  <si>
    <t>0354076556</t>
  </si>
  <si>
    <t>0345957842</t>
  </si>
  <si>
    <t>0353785139</t>
  </si>
  <si>
    <t>0911535663</t>
  </si>
  <si>
    <t>0379896265</t>
  </si>
  <si>
    <t>0333835744</t>
  </si>
  <si>
    <t>0383116049</t>
  </si>
  <si>
    <t>0354296648</t>
  </si>
  <si>
    <t>0938266261</t>
  </si>
  <si>
    <t>0909295871</t>
  </si>
  <si>
    <t>0818099104</t>
  </si>
  <si>
    <t>0375761836</t>
  </si>
  <si>
    <t>0374822768</t>
  </si>
  <si>
    <t>0869145421</t>
  </si>
  <si>
    <t>0782827561</t>
  </si>
  <si>
    <t>0937935385</t>
  </si>
  <si>
    <t>0379520587</t>
  </si>
  <si>
    <t>0968179610</t>
  </si>
  <si>
    <t>0868095079</t>
  </si>
  <si>
    <t>0963662858</t>
  </si>
  <si>
    <t>0364738946</t>
  </si>
  <si>
    <t>0987274129</t>
  </si>
  <si>
    <t>0797996989</t>
  </si>
  <si>
    <t>0374783989</t>
  </si>
  <si>
    <t>0344582456</t>
  </si>
  <si>
    <t>0353349087</t>
  </si>
  <si>
    <t>v</t>
  </si>
  <si>
    <t>+</t>
  </si>
  <si>
    <t>b1</t>
  </si>
  <si>
    <t>b2</t>
  </si>
  <si>
    <t>t</t>
  </si>
  <si>
    <t>b3</t>
  </si>
  <si>
    <t>b4</t>
  </si>
  <si>
    <t>b5</t>
  </si>
  <si>
    <t>b6</t>
  </si>
  <si>
    <t>b7</t>
  </si>
  <si>
    <t>?</t>
  </si>
  <si>
    <t>kxp??</t>
  </si>
  <si>
    <t>RL</t>
  </si>
  <si>
    <t>kco hiễn thi</t>
  </si>
  <si>
    <t>8.5</t>
  </si>
  <si>
    <t>4.5</t>
  </si>
  <si>
    <t>6.25</t>
  </si>
  <si>
    <t>5.75</t>
  </si>
  <si>
    <t>5.5</t>
  </si>
  <si>
    <t>3.75</t>
  </si>
  <si>
    <t>5.25</t>
  </si>
  <si>
    <t>4.75</t>
  </si>
  <si>
    <t>7.5</t>
  </si>
  <si>
    <t>4.25</t>
  </si>
  <si>
    <t>6.75</t>
  </si>
  <si>
    <t>3.5</t>
  </si>
  <si>
    <t>2.75</t>
  </si>
  <si>
    <t>6.5</t>
  </si>
  <si>
    <t>3.25</t>
  </si>
  <si>
    <t>2.5</t>
  </si>
  <si>
    <t>b8</t>
  </si>
  <si>
    <t>b9</t>
  </si>
  <si>
    <t>p</t>
  </si>
  <si>
    <t>*</t>
  </si>
  <si>
    <t>*?</t>
  </si>
  <si>
    <t>tắt CAM</t>
  </si>
  <si>
    <t>vt</t>
  </si>
  <si>
    <t>tắt CAM 2</t>
  </si>
  <si>
    <t>v?</t>
  </si>
  <si>
    <t>000</t>
  </si>
  <si>
    <t>kt1</t>
  </si>
  <si>
    <t>kt2</t>
  </si>
  <si>
    <t>CC</t>
  </si>
  <si>
    <t>ĐQT</t>
  </si>
  <si>
    <t>4.7</t>
  </si>
  <si>
    <t>4.2</t>
  </si>
  <si>
    <t>3.2</t>
  </si>
  <si>
    <t>6.2</t>
  </si>
  <si>
    <t>5.2</t>
  </si>
  <si>
    <t>3.7</t>
  </si>
  <si>
    <t>5.7</t>
  </si>
  <si>
    <t>6.7</t>
  </si>
  <si>
    <t>Thi</t>
  </si>
  <si>
    <t>ĐHP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</si>
</sst>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color theme="1"/>
      <name val="Arial Unicode MS"/>
    </font>
    <font>
      <b/>
      <sz val="10"/>
      <color rgb="FFF7F7F7"/>
      <name val="Arial Unicode MS"/>
    </font>
    <font>
      <u/>
      <sz val="12"/>
      <color theme="10"/>
      <name val="Times New Roman"/>
      <family val="2"/>
    </font>
    <font>
      <sz val="8"/>
      <name val="Times New Roman"/>
      <family val="2"/>
    </font>
    <font>
      <sz val="12"/>
      <color rgb="FF00B0F0"/>
      <name val="Times New Roman"/>
      <family val="2"/>
    </font>
    <font>
      <sz val="12"/>
      <color rgb="FF002060"/>
      <name val="Times New Roman"/>
      <family val="2"/>
    </font>
    <font>
      <b/>
      <sz val="10"/>
      <color rgb="FFC00000"/>
      <name val="Arial Unicode MS"/>
    </font>
    <font>
      <sz val="12"/>
      <color rgb="FFC00000"/>
      <name val="Times New Roman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A3C8C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6">
    <xf numFmtId="0" fontId="0" fillId="0" borderId="0" xfId="0"/>
    <xf numFmtId="49" fontId="19" fillId="33" borderId="10" xfId="0" applyNumberFormat="1" applyFont="1" applyFill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left" wrapText="1"/>
    </xf>
    <xf numFmtId="49" fontId="19" fillId="33" borderId="11" xfId="0" applyNumberFormat="1" applyFont="1" applyFill="1" applyBorder="1" applyAlignment="1">
      <alignment horizontal="center" vertical="center" wrapText="1"/>
    </xf>
    <xf numFmtId="0" fontId="0" fillId="0" borderId="11" xfId="0" applyBorder="1"/>
    <xf numFmtId="49" fontId="0" fillId="0" borderId="11" xfId="0" applyNumberFormat="1" applyBorder="1" applyAlignment="1">
      <alignment horizontal="left" wrapText="1"/>
    </xf>
    <xf numFmtId="0" fontId="20" fillId="0" borderId="11" xfId="42" applyBorder="1"/>
    <xf numFmtId="49" fontId="20" fillId="0" borderId="11" xfId="42" applyNumberFormat="1" applyBorder="1" applyAlignment="1">
      <alignment horizontal="left" wrapText="1"/>
    </xf>
    <xf numFmtId="49" fontId="0" fillId="0" borderId="11" xfId="0" quotePrefix="1" applyNumberFormat="1" applyBorder="1" applyAlignment="1">
      <alignment horizontal="left" wrapText="1"/>
    </xf>
    <xf numFmtId="0" fontId="20" fillId="0" borderId="0" xfId="42"/>
    <xf numFmtId="0" fontId="0" fillId="0" borderId="13" xfId="0" applyFill="1" applyBorder="1"/>
    <xf numFmtId="0" fontId="0" fillId="0" borderId="11" xfId="0" quotePrefix="1" applyBorder="1"/>
    <xf numFmtId="49" fontId="19" fillId="33" borderId="0" xfId="0" applyNumberFormat="1" applyFont="1" applyFill="1" applyBorder="1" applyAlignment="1">
      <alignment horizontal="center" vertical="center" wrapText="1"/>
    </xf>
    <xf numFmtId="0" fontId="0" fillId="0" borderId="12" xfId="0" quotePrefix="1" applyNumberFormat="1" applyBorder="1" applyAlignment="1">
      <alignment horizontal="center" wrapText="1"/>
    </xf>
    <xf numFmtId="0" fontId="0" fillId="0" borderId="12" xfId="0" applyNumberFormat="1" applyBorder="1" applyAlignment="1">
      <alignment horizontal="center" wrapText="1"/>
    </xf>
    <xf numFmtId="49" fontId="19" fillId="33" borderId="14" xfId="0" applyNumberFormat="1" applyFont="1" applyFill="1" applyBorder="1" applyAlignment="1">
      <alignment horizontal="center" vertical="center" wrapText="1"/>
    </xf>
    <xf numFmtId="1" fontId="0" fillId="0" borderId="11" xfId="0" applyNumberFormat="1" applyBorder="1" applyAlignment="1">
      <alignment horizontal="left" wrapText="1"/>
    </xf>
    <xf numFmtId="164" fontId="22" fillId="0" borderId="11" xfId="0" applyNumberFormat="1" applyFont="1" applyBorder="1" applyAlignment="1">
      <alignment horizontal="left" wrapText="1"/>
    </xf>
    <xf numFmtId="0" fontId="22" fillId="0" borderId="0" xfId="0" applyFont="1"/>
    <xf numFmtId="164" fontId="23" fillId="0" borderId="11" xfId="0" applyNumberFormat="1" applyFont="1" applyBorder="1" applyAlignment="1">
      <alignment horizontal="left" wrapText="1"/>
    </xf>
    <xf numFmtId="0" fontId="23" fillId="0" borderId="0" xfId="0" applyFont="1"/>
    <xf numFmtId="164" fontId="23" fillId="0" borderId="13" xfId="0" applyNumberFormat="1" applyFont="1" applyFill="1" applyBorder="1" applyAlignment="1">
      <alignment horizontal="left" wrapText="1"/>
    </xf>
    <xf numFmtId="49" fontId="24" fillId="33" borderId="0" xfId="0" applyNumberFormat="1" applyFont="1" applyFill="1" applyBorder="1" applyAlignment="1">
      <alignment horizontal="center" vertical="center" wrapText="1"/>
    </xf>
    <xf numFmtId="0" fontId="25" fillId="0" borderId="0" xfId="0" applyFont="1"/>
    <xf numFmtId="164" fontId="25" fillId="34" borderId="11" xfId="0" applyNumberFormat="1" applyFont="1" applyFill="1" applyBorder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609600</xdr:colOff>
          <xdr:row>2</xdr:row>
          <xdr:rowOff>28575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X78"/>
  <sheetViews>
    <sheetView showGridLines="0" tabSelected="1" topLeftCell="B1" workbookViewId="0">
      <selection activeCell="L4" sqref="L4:L73"/>
    </sheetView>
  </sheetViews>
  <sheetFormatPr defaultRowHeight="15.75"/>
  <cols>
    <col min="1" max="1" width="4" bestFit="1" customWidth="1"/>
    <col min="2" max="2" width="10.875" bestFit="1" customWidth="1"/>
    <col min="3" max="3" width="15.625" bestFit="1" customWidth="1"/>
    <col min="4" max="4" width="6.875" bestFit="1" customWidth="1"/>
    <col min="6" max="6" width="11.25" customWidth="1"/>
    <col min="7" max="9" width="4.375" customWidth="1"/>
    <col min="10" max="10" width="5.75" style="19" customWidth="1"/>
    <col min="11" max="11" width="5.75" style="21" customWidth="1"/>
    <col min="12" max="12" width="5.75" style="24" customWidth="1"/>
    <col min="13" max="18" width="4.375" customWidth="1"/>
    <col min="19" max="21" width="4" customWidth="1"/>
  </cols>
  <sheetData>
    <row r="3" spans="1:2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6" t="s">
        <v>382</v>
      </c>
      <c r="H3" s="13" t="s">
        <v>383</v>
      </c>
      <c r="I3" s="13" t="s">
        <v>384</v>
      </c>
      <c r="J3" s="23" t="s">
        <v>385</v>
      </c>
      <c r="K3" s="23" t="s">
        <v>394</v>
      </c>
      <c r="L3" s="23" t="s">
        <v>395</v>
      </c>
      <c r="M3" s="4" t="s">
        <v>344</v>
      </c>
      <c r="N3" s="4" t="s">
        <v>345</v>
      </c>
      <c r="O3" s="4" t="s">
        <v>347</v>
      </c>
      <c r="P3" s="4" t="s">
        <v>348</v>
      </c>
      <c r="Q3" s="4" t="s">
        <v>349</v>
      </c>
      <c r="R3" s="4" t="s">
        <v>350</v>
      </c>
      <c r="S3" s="4" t="s">
        <v>351</v>
      </c>
      <c r="T3" s="4" t="s">
        <v>372</v>
      </c>
      <c r="U3" s="4" t="s">
        <v>373</v>
      </c>
    </row>
    <row r="4" spans="1:23" ht="18.75" customHeight="1">
      <c r="A4" s="2" t="s">
        <v>6</v>
      </c>
      <c r="B4" s="2" t="s">
        <v>7</v>
      </c>
      <c r="C4" s="3" t="s">
        <v>8</v>
      </c>
      <c r="D4" s="3" t="s">
        <v>9</v>
      </c>
      <c r="E4" s="2" t="s">
        <v>10</v>
      </c>
      <c r="F4" s="14" t="s">
        <v>272</v>
      </c>
      <c r="G4" s="6" t="s">
        <v>363</v>
      </c>
      <c r="H4" s="6" t="s">
        <v>357</v>
      </c>
      <c r="I4" s="17">
        <f>10-COUNTIF(M4:U4,"v*")</f>
        <v>7</v>
      </c>
      <c r="J4" s="18">
        <f>(G4+H4+I4)/3</f>
        <v>5.416666666666667</v>
      </c>
      <c r="K4" s="20">
        <v>4.5999999999999996</v>
      </c>
      <c r="L4" s="25">
        <f>J4*0.4+K4*0.6</f>
        <v>4.9266666666666667</v>
      </c>
      <c r="M4" s="6"/>
      <c r="N4" s="5" t="s">
        <v>342</v>
      </c>
      <c r="O4" s="5"/>
      <c r="P4" s="5"/>
      <c r="Q4" s="5"/>
      <c r="R4" s="5"/>
      <c r="S4" s="5" t="s">
        <v>342</v>
      </c>
      <c r="T4" s="5"/>
      <c r="U4" s="5" t="s">
        <v>378</v>
      </c>
      <c r="V4">
        <f>CEILING(G4,0.5)</f>
        <v>5</v>
      </c>
      <c r="W4">
        <f>CEILING(H4,0.5)</f>
        <v>4.5</v>
      </c>
    </row>
    <row r="5" spans="1:23">
      <c r="A5" s="2" t="s">
        <v>11</v>
      </c>
      <c r="B5" s="2" t="s">
        <v>12</v>
      </c>
      <c r="C5" s="3" t="s">
        <v>13</v>
      </c>
      <c r="D5" s="3" t="s">
        <v>14</v>
      </c>
      <c r="E5" s="2" t="s">
        <v>10</v>
      </c>
      <c r="F5" s="15" t="s">
        <v>273</v>
      </c>
      <c r="G5" s="6" t="s">
        <v>362</v>
      </c>
      <c r="H5" s="6" t="s">
        <v>19</v>
      </c>
      <c r="I5" s="17">
        <v>8</v>
      </c>
      <c r="J5" s="18">
        <f t="shared" ref="J5:J68" si="0">(G5+H5+I5)/3</f>
        <v>5.75</v>
      </c>
      <c r="K5" s="20">
        <v>6.5</v>
      </c>
      <c r="L5" s="25">
        <f t="shared" ref="L5:L68" si="1">J5*0.4+K5*0.6</f>
        <v>6.2</v>
      </c>
      <c r="M5" s="6"/>
      <c r="N5" s="5"/>
      <c r="O5" s="5"/>
      <c r="P5" s="5"/>
      <c r="Q5" s="5"/>
      <c r="R5" s="5"/>
      <c r="S5" s="5"/>
      <c r="T5" s="5"/>
      <c r="U5" s="5"/>
    </row>
    <row r="6" spans="1:23">
      <c r="A6" s="2" t="s">
        <v>15</v>
      </c>
      <c r="B6" s="2" t="s">
        <v>16</v>
      </c>
      <c r="C6" s="3" t="s">
        <v>17</v>
      </c>
      <c r="D6" s="3" t="s">
        <v>18</v>
      </c>
      <c r="E6" s="2" t="s">
        <v>10</v>
      </c>
      <c r="F6" s="15" t="s">
        <v>274</v>
      </c>
      <c r="G6" s="6" t="s">
        <v>357</v>
      </c>
      <c r="H6" s="6" t="s">
        <v>23</v>
      </c>
      <c r="I6" s="17">
        <v>8</v>
      </c>
      <c r="J6" s="18">
        <f t="shared" si="0"/>
        <v>5.833333333333333</v>
      </c>
      <c r="K6" s="21">
        <v>4.5</v>
      </c>
      <c r="L6" s="25">
        <f t="shared" si="1"/>
        <v>5.0333333333333332</v>
      </c>
      <c r="M6" s="6"/>
      <c r="N6" s="5"/>
      <c r="O6" s="5"/>
      <c r="P6" s="5"/>
      <c r="Q6" s="5"/>
      <c r="R6" s="5"/>
      <c r="S6" s="5"/>
      <c r="T6" s="5"/>
      <c r="U6" s="5"/>
    </row>
    <row r="7" spans="1:23">
      <c r="A7" s="2" t="s">
        <v>19</v>
      </c>
      <c r="B7" s="2" t="s">
        <v>20</v>
      </c>
      <c r="C7" s="3" t="s">
        <v>21</v>
      </c>
      <c r="D7" s="3" t="s">
        <v>18</v>
      </c>
      <c r="E7" s="2" t="s">
        <v>22</v>
      </c>
      <c r="F7" s="15" t="s">
        <v>275</v>
      </c>
      <c r="G7" s="6" t="s">
        <v>19</v>
      </c>
      <c r="H7" s="6" t="s">
        <v>387</v>
      </c>
      <c r="I7" s="17">
        <v>7</v>
      </c>
      <c r="J7" s="18">
        <f t="shared" si="0"/>
        <v>5.0666666666666664</v>
      </c>
      <c r="K7" s="20">
        <v>6.5</v>
      </c>
      <c r="L7" s="25">
        <f t="shared" si="1"/>
        <v>5.9266666666666667</v>
      </c>
      <c r="M7" s="6" t="s">
        <v>342</v>
      </c>
      <c r="N7" s="5"/>
      <c r="O7" s="7"/>
      <c r="P7" s="5"/>
      <c r="Q7" s="5"/>
      <c r="R7" s="5"/>
      <c r="S7" s="5"/>
      <c r="T7" s="5"/>
      <c r="U7" s="5"/>
    </row>
    <row r="8" spans="1:23">
      <c r="A8" s="2" t="s">
        <v>23</v>
      </c>
      <c r="B8" s="2" t="s">
        <v>24</v>
      </c>
      <c r="C8" s="3" t="s">
        <v>25</v>
      </c>
      <c r="D8" s="3" t="s">
        <v>26</v>
      </c>
      <c r="E8" s="2" t="s">
        <v>10</v>
      </c>
      <c r="F8" s="15" t="s">
        <v>276</v>
      </c>
      <c r="G8" s="6" t="s">
        <v>23</v>
      </c>
      <c r="H8" s="6" t="s">
        <v>23</v>
      </c>
      <c r="I8" s="17">
        <v>8</v>
      </c>
      <c r="J8" s="18">
        <f t="shared" si="0"/>
        <v>6</v>
      </c>
      <c r="K8" s="20">
        <v>7.5</v>
      </c>
      <c r="L8" s="25">
        <f t="shared" si="1"/>
        <v>6.9</v>
      </c>
      <c r="M8" s="6"/>
      <c r="N8" s="5"/>
      <c r="O8" s="5"/>
      <c r="P8" s="5"/>
      <c r="Q8" s="5"/>
      <c r="R8" s="5"/>
      <c r="S8" s="5"/>
      <c r="T8" s="5"/>
      <c r="U8" s="5"/>
    </row>
    <row r="9" spans="1:23">
      <c r="A9" s="2" t="s">
        <v>27</v>
      </c>
      <c r="B9" s="2" t="s">
        <v>28</v>
      </c>
      <c r="C9" s="3" t="s">
        <v>29</v>
      </c>
      <c r="D9" s="3" t="s">
        <v>30</v>
      </c>
      <c r="E9" s="2" t="s">
        <v>10</v>
      </c>
      <c r="F9" s="15" t="s">
        <v>277</v>
      </c>
      <c r="G9" s="6" t="s">
        <v>362</v>
      </c>
      <c r="H9" s="6" t="s">
        <v>357</v>
      </c>
      <c r="I9" s="17">
        <v>8</v>
      </c>
      <c r="J9" s="18">
        <f t="shared" si="0"/>
        <v>5.916666666666667</v>
      </c>
      <c r="K9" s="20">
        <v>7</v>
      </c>
      <c r="L9" s="25">
        <f t="shared" si="1"/>
        <v>6.5666666666666664</v>
      </c>
      <c r="M9" s="6"/>
      <c r="N9" s="5"/>
      <c r="O9" s="5"/>
      <c r="P9" s="5"/>
      <c r="Q9" s="5"/>
      <c r="R9" s="5"/>
      <c r="S9" s="5"/>
      <c r="T9" s="5"/>
      <c r="U9" s="5"/>
    </row>
    <row r="10" spans="1:23">
      <c r="A10" s="2" t="s">
        <v>31</v>
      </c>
      <c r="B10" s="2" t="s">
        <v>32</v>
      </c>
      <c r="C10" s="3" t="s">
        <v>33</v>
      </c>
      <c r="D10" s="3" t="s">
        <v>34</v>
      </c>
      <c r="E10" s="2" t="s">
        <v>10</v>
      </c>
      <c r="F10" s="15" t="s">
        <v>278</v>
      </c>
      <c r="G10" s="6" t="s">
        <v>357</v>
      </c>
      <c r="H10" s="6" t="s">
        <v>391</v>
      </c>
      <c r="I10" s="17">
        <v>7</v>
      </c>
      <c r="J10" s="18">
        <f t="shared" si="0"/>
        <v>5.0666666666666664</v>
      </c>
      <c r="K10" s="20">
        <v>4</v>
      </c>
      <c r="L10" s="25">
        <f t="shared" si="1"/>
        <v>4.4266666666666667</v>
      </c>
      <c r="M10" s="6"/>
      <c r="N10" s="5"/>
      <c r="O10" s="5"/>
      <c r="P10" s="5"/>
      <c r="Q10" s="5"/>
      <c r="R10" s="5"/>
      <c r="S10" s="5"/>
      <c r="T10" s="5"/>
      <c r="U10" s="5" t="s">
        <v>346</v>
      </c>
      <c r="V10" t="s">
        <v>377</v>
      </c>
    </row>
    <row r="11" spans="1:23">
      <c r="A11" s="2" t="s">
        <v>35</v>
      </c>
      <c r="B11" s="2" t="s">
        <v>36</v>
      </c>
      <c r="C11" s="3" t="s">
        <v>37</v>
      </c>
      <c r="D11" s="3" t="s">
        <v>38</v>
      </c>
      <c r="E11" s="2" t="s">
        <v>10</v>
      </c>
      <c r="F11" s="15" t="s">
        <v>279</v>
      </c>
      <c r="G11" s="6" t="s">
        <v>362</v>
      </c>
      <c r="H11" s="6" t="s">
        <v>19</v>
      </c>
      <c r="I11" s="17">
        <v>8</v>
      </c>
      <c r="J11" s="18">
        <f t="shared" si="0"/>
        <v>5.75</v>
      </c>
      <c r="K11" s="20">
        <v>7.5</v>
      </c>
      <c r="L11" s="25">
        <f t="shared" si="1"/>
        <v>6.8000000000000007</v>
      </c>
      <c r="M11" s="8"/>
      <c r="N11" s="5"/>
      <c r="O11" s="5"/>
      <c r="P11" s="5"/>
      <c r="Q11" s="5"/>
      <c r="R11" s="5"/>
      <c r="S11" s="5"/>
      <c r="T11" s="5"/>
      <c r="U11" s="5"/>
    </row>
    <row r="12" spans="1:23">
      <c r="A12" s="2" t="s">
        <v>39</v>
      </c>
      <c r="B12" s="2" t="s">
        <v>40</v>
      </c>
      <c r="C12" s="3" t="s">
        <v>41</v>
      </c>
      <c r="D12" s="3" t="s">
        <v>42</v>
      </c>
      <c r="E12" s="2" t="s">
        <v>43</v>
      </c>
      <c r="F12" s="15" t="s">
        <v>280</v>
      </c>
      <c r="G12" s="6" t="s">
        <v>31</v>
      </c>
      <c r="H12" s="6" t="s">
        <v>369</v>
      </c>
      <c r="I12" s="17">
        <v>9</v>
      </c>
      <c r="J12" s="18">
        <f t="shared" si="0"/>
        <v>7.5</v>
      </c>
      <c r="K12" s="20">
        <v>6.5</v>
      </c>
      <c r="L12" s="25">
        <f t="shared" si="1"/>
        <v>6.9</v>
      </c>
      <c r="M12" s="8"/>
      <c r="N12" s="5"/>
      <c r="O12" s="7"/>
      <c r="P12" s="5"/>
      <c r="Q12" s="5"/>
      <c r="R12" s="5"/>
      <c r="S12" s="5"/>
      <c r="T12" s="5"/>
      <c r="U12" s="5"/>
    </row>
    <row r="13" spans="1:23">
      <c r="A13" s="2" t="s">
        <v>44</v>
      </c>
      <c r="B13" s="2" t="s">
        <v>45</v>
      </c>
      <c r="C13" s="3" t="s">
        <v>46</v>
      </c>
      <c r="D13" s="3" t="s">
        <v>47</v>
      </c>
      <c r="E13" s="2" t="s">
        <v>22</v>
      </c>
      <c r="F13" s="15" t="s">
        <v>281</v>
      </c>
      <c r="G13" s="6" t="s">
        <v>361</v>
      </c>
      <c r="H13" s="6" t="s">
        <v>388</v>
      </c>
      <c r="I13" s="17">
        <v>6</v>
      </c>
      <c r="J13" s="18">
        <f t="shared" si="0"/>
        <v>4.3166666666666664</v>
      </c>
      <c r="K13" s="20"/>
      <c r="L13" s="25">
        <f t="shared" si="1"/>
        <v>1.7266666666666666</v>
      </c>
      <c r="M13" s="6"/>
      <c r="N13" s="5"/>
      <c r="O13" s="5" t="s">
        <v>342</v>
      </c>
      <c r="P13" s="5"/>
      <c r="Q13" s="5"/>
      <c r="R13" s="5"/>
      <c r="S13" s="5" t="s">
        <v>342</v>
      </c>
      <c r="T13" s="5"/>
      <c r="U13" s="5" t="s">
        <v>342</v>
      </c>
    </row>
    <row r="14" spans="1:23">
      <c r="A14" s="2" t="s">
        <v>48</v>
      </c>
      <c r="B14" s="2" t="s">
        <v>49</v>
      </c>
      <c r="C14" s="3" t="s">
        <v>50</v>
      </c>
      <c r="D14" s="3" t="s">
        <v>51</v>
      </c>
      <c r="E14" s="2" t="s">
        <v>10</v>
      </c>
      <c r="F14" s="15" t="s">
        <v>282</v>
      </c>
      <c r="G14" s="6" t="s">
        <v>362</v>
      </c>
      <c r="H14" s="6" t="s">
        <v>357</v>
      </c>
      <c r="I14" s="17">
        <v>6</v>
      </c>
      <c r="J14" s="18">
        <f t="shared" si="0"/>
        <v>5.25</v>
      </c>
      <c r="K14" s="20">
        <v>4</v>
      </c>
      <c r="L14" s="25">
        <f t="shared" si="1"/>
        <v>4.5</v>
      </c>
      <c r="M14" s="6"/>
      <c r="N14" s="5"/>
      <c r="O14" s="5"/>
      <c r="P14" s="5"/>
      <c r="Q14" s="5"/>
      <c r="R14" s="5"/>
      <c r="S14" s="5"/>
      <c r="T14" s="5"/>
      <c r="U14" s="5"/>
    </row>
    <row r="15" spans="1:23">
      <c r="A15" s="2" t="s">
        <v>52</v>
      </c>
      <c r="B15" s="2" t="s">
        <v>53</v>
      </c>
      <c r="C15" s="3" t="s">
        <v>54</v>
      </c>
      <c r="D15" s="3" t="s">
        <v>51</v>
      </c>
      <c r="E15" s="2" t="s">
        <v>43</v>
      </c>
      <c r="F15" s="15" t="s">
        <v>283</v>
      </c>
      <c r="G15" s="6" t="s">
        <v>367</v>
      </c>
      <c r="H15" s="6" t="s">
        <v>393</v>
      </c>
      <c r="I15" s="17">
        <v>6</v>
      </c>
      <c r="J15" s="18">
        <f t="shared" si="0"/>
        <v>5.3999999999999995</v>
      </c>
      <c r="K15" s="20">
        <v>6</v>
      </c>
      <c r="L15" s="25">
        <f t="shared" si="1"/>
        <v>5.76</v>
      </c>
      <c r="M15" s="6"/>
      <c r="N15" s="5"/>
      <c r="O15" s="5"/>
      <c r="P15" s="5"/>
      <c r="Q15" s="5"/>
      <c r="R15" s="5"/>
      <c r="S15" s="5"/>
      <c r="T15" s="5"/>
      <c r="U15" s="5"/>
    </row>
    <row r="16" spans="1:23">
      <c r="A16" s="2" t="s">
        <v>55</v>
      </c>
      <c r="B16" s="2" t="s">
        <v>56</v>
      </c>
      <c r="C16" s="3" t="s">
        <v>57</v>
      </c>
      <c r="D16" s="3" t="s">
        <v>58</v>
      </c>
      <c r="E16" s="2" t="s">
        <v>22</v>
      </c>
      <c r="F16" s="15" t="s">
        <v>284</v>
      </c>
      <c r="G16" s="6" t="s">
        <v>357</v>
      </c>
      <c r="H16" s="6" t="s">
        <v>19</v>
      </c>
      <c r="I16" s="17">
        <v>7</v>
      </c>
      <c r="J16" s="18">
        <f t="shared" si="0"/>
        <v>5.166666666666667</v>
      </c>
      <c r="K16" s="20">
        <v>6.5</v>
      </c>
      <c r="L16" s="25">
        <f t="shared" si="1"/>
        <v>5.9666666666666668</v>
      </c>
      <c r="M16" s="6"/>
      <c r="N16" s="5" t="s">
        <v>342</v>
      </c>
      <c r="O16" s="5"/>
      <c r="P16" s="5"/>
      <c r="Q16" s="5"/>
      <c r="R16" s="5"/>
      <c r="S16" s="5"/>
      <c r="T16" s="5"/>
      <c r="U16" s="5"/>
    </row>
    <row r="17" spans="1:21">
      <c r="A17" s="2" t="s">
        <v>59</v>
      </c>
      <c r="B17" s="2" t="s">
        <v>60</v>
      </c>
      <c r="C17" s="3" t="s">
        <v>61</v>
      </c>
      <c r="D17" s="3" t="s">
        <v>62</v>
      </c>
      <c r="E17" s="2" t="s">
        <v>43</v>
      </c>
      <c r="F17" s="15" t="s">
        <v>285</v>
      </c>
      <c r="G17" s="6" t="s">
        <v>19</v>
      </c>
      <c r="H17" s="6" t="s">
        <v>386</v>
      </c>
      <c r="I17" s="17">
        <v>7</v>
      </c>
      <c r="J17" s="18">
        <f t="shared" si="0"/>
        <v>5.2333333333333334</v>
      </c>
      <c r="K17" s="20">
        <v>2.5</v>
      </c>
      <c r="L17" s="25">
        <f t="shared" si="1"/>
        <v>3.5933333333333333</v>
      </c>
      <c r="M17" s="6"/>
      <c r="N17" s="5"/>
      <c r="O17" s="5" t="s">
        <v>342</v>
      </c>
      <c r="P17" s="5"/>
      <c r="Q17" s="5"/>
      <c r="R17" s="5"/>
      <c r="S17" s="5"/>
      <c r="T17" s="5"/>
      <c r="U17" s="5"/>
    </row>
    <row r="18" spans="1:21">
      <c r="A18" s="2" t="s">
        <v>63</v>
      </c>
      <c r="B18" s="2" t="s">
        <v>64</v>
      </c>
      <c r="C18" s="3" t="s">
        <v>65</v>
      </c>
      <c r="D18" s="3" t="s">
        <v>66</v>
      </c>
      <c r="E18" s="2" t="s">
        <v>22</v>
      </c>
      <c r="F18" s="15" t="s">
        <v>286</v>
      </c>
      <c r="G18" s="6" t="s">
        <v>357</v>
      </c>
      <c r="H18" s="6" t="s">
        <v>387</v>
      </c>
      <c r="I18" s="17">
        <v>8</v>
      </c>
      <c r="J18" s="18">
        <f t="shared" si="0"/>
        <v>5.5666666666666664</v>
      </c>
      <c r="K18" s="20">
        <v>7.5</v>
      </c>
      <c r="L18" s="25">
        <f t="shared" si="1"/>
        <v>6.7266666666666666</v>
      </c>
      <c r="M18" s="6"/>
      <c r="N18" s="5"/>
      <c r="O18" s="5"/>
      <c r="P18" s="5"/>
      <c r="Q18" s="5"/>
      <c r="R18" s="5"/>
      <c r="S18" s="5"/>
      <c r="T18" s="5"/>
      <c r="U18" s="5"/>
    </row>
    <row r="19" spans="1:21">
      <c r="A19" s="2" t="s">
        <v>67</v>
      </c>
      <c r="B19" s="2" t="s">
        <v>68</v>
      </c>
      <c r="C19" s="3" t="s">
        <v>69</v>
      </c>
      <c r="D19" s="3" t="s">
        <v>70</v>
      </c>
      <c r="E19" s="2" t="s">
        <v>22</v>
      </c>
      <c r="F19" s="15" t="s">
        <v>287</v>
      </c>
      <c r="G19" s="6" t="s">
        <v>360</v>
      </c>
      <c r="H19" s="6" t="s">
        <v>369</v>
      </c>
      <c r="I19" s="17">
        <v>8</v>
      </c>
      <c r="J19" s="18">
        <f t="shared" si="0"/>
        <v>6.666666666666667</v>
      </c>
      <c r="K19" s="20">
        <v>7.5</v>
      </c>
      <c r="L19" s="25">
        <f t="shared" si="1"/>
        <v>7.166666666666667</v>
      </c>
      <c r="M19" s="6"/>
      <c r="N19" s="5"/>
      <c r="O19" s="5"/>
      <c r="P19" s="5"/>
      <c r="Q19" s="5"/>
      <c r="R19" s="5"/>
      <c r="S19" s="5"/>
      <c r="T19" s="5"/>
      <c r="U19" s="5"/>
    </row>
    <row r="20" spans="1:21">
      <c r="A20" s="2" t="s">
        <v>71</v>
      </c>
      <c r="B20" s="2" t="s">
        <v>72</v>
      </c>
      <c r="C20" s="3" t="s">
        <v>73</v>
      </c>
      <c r="D20" s="3" t="s">
        <v>74</v>
      </c>
      <c r="E20" s="2" t="s">
        <v>22</v>
      </c>
      <c r="F20" s="15" t="s">
        <v>288</v>
      </c>
      <c r="G20" s="6" t="s">
        <v>365</v>
      </c>
      <c r="H20" s="6" t="s">
        <v>386</v>
      </c>
      <c r="I20" s="17">
        <v>7</v>
      </c>
      <c r="J20" s="18">
        <f t="shared" si="0"/>
        <v>5.3166666666666664</v>
      </c>
      <c r="K20" s="20">
        <v>7</v>
      </c>
      <c r="L20" s="25">
        <f t="shared" si="1"/>
        <v>6.3266666666666662</v>
      </c>
      <c r="M20" s="6"/>
      <c r="N20" s="5"/>
      <c r="O20" s="5"/>
      <c r="P20" s="5" t="s">
        <v>342</v>
      </c>
      <c r="Q20" s="5"/>
      <c r="R20" s="5"/>
      <c r="S20" s="5"/>
      <c r="T20" s="5"/>
      <c r="U20" s="5"/>
    </row>
    <row r="21" spans="1:21">
      <c r="A21" s="2" t="s">
        <v>75</v>
      </c>
      <c r="B21" s="2" t="s">
        <v>76</v>
      </c>
      <c r="C21" s="3" t="s">
        <v>77</v>
      </c>
      <c r="D21" s="3" t="s">
        <v>78</v>
      </c>
      <c r="E21" s="2" t="s">
        <v>10</v>
      </c>
      <c r="F21" s="15" t="s">
        <v>289</v>
      </c>
      <c r="G21" s="6" t="s">
        <v>357</v>
      </c>
      <c r="H21" s="6" t="s">
        <v>19</v>
      </c>
      <c r="I21" s="17">
        <v>8</v>
      </c>
      <c r="J21" s="18">
        <f t="shared" si="0"/>
        <v>5.5</v>
      </c>
      <c r="K21" s="20">
        <v>5.5</v>
      </c>
      <c r="L21" s="25">
        <f t="shared" si="1"/>
        <v>5.5</v>
      </c>
      <c r="M21" s="6"/>
      <c r="N21" s="5"/>
      <c r="O21" s="5"/>
      <c r="P21" s="5"/>
      <c r="Q21" s="5"/>
      <c r="R21" s="5"/>
      <c r="S21" s="5"/>
      <c r="T21" s="5"/>
      <c r="U21" s="5"/>
    </row>
    <row r="22" spans="1:21">
      <c r="A22" s="2" t="s">
        <v>79</v>
      </c>
      <c r="B22" s="2" t="s">
        <v>80</v>
      </c>
      <c r="C22" s="3" t="s">
        <v>81</v>
      </c>
      <c r="D22" s="3" t="s">
        <v>82</v>
      </c>
      <c r="E22" s="2" t="s">
        <v>43</v>
      </c>
      <c r="F22" s="15" t="s">
        <v>290</v>
      </c>
      <c r="G22" s="6" t="s">
        <v>370</v>
      </c>
      <c r="H22" s="6" t="s">
        <v>11</v>
      </c>
      <c r="I22" s="17">
        <v>7</v>
      </c>
      <c r="J22" s="18">
        <f t="shared" si="0"/>
        <v>4.083333333333333</v>
      </c>
      <c r="K22" s="20">
        <v>3</v>
      </c>
      <c r="L22" s="25">
        <f t="shared" si="1"/>
        <v>3.4333333333333331</v>
      </c>
      <c r="M22" s="6"/>
      <c r="N22" s="5"/>
      <c r="O22" s="5"/>
      <c r="P22" s="5"/>
      <c r="Q22" s="5"/>
      <c r="R22" s="5"/>
      <c r="S22" s="5"/>
      <c r="T22" s="5"/>
      <c r="U22" s="5"/>
    </row>
    <row r="23" spans="1:21">
      <c r="A23" s="2" t="s">
        <v>83</v>
      </c>
      <c r="B23" s="2" t="s">
        <v>84</v>
      </c>
      <c r="C23" s="3" t="s">
        <v>85</v>
      </c>
      <c r="D23" s="3" t="s">
        <v>82</v>
      </c>
      <c r="E23" s="2" t="s">
        <v>10</v>
      </c>
      <c r="F23" s="15" t="s">
        <v>291</v>
      </c>
      <c r="G23" s="6" t="s">
        <v>365</v>
      </c>
      <c r="H23" s="6" t="s">
        <v>386</v>
      </c>
      <c r="I23" s="17">
        <v>8</v>
      </c>
      <c r="J23" s="18">
        <f t="shared" si="0"/>
        <v>5.6499999999999995</v>
      </c>
      <c r="K23" s="20">
        <v>5</v>
      </c>
      <c r="L23" s="25">
        <f t="shared" si="1"/>
        <v>5.26</v>
      </c>
      <c r="M23" s="6"/>
      <c r="N23" s="5"/>
      <c r="O23" s="5"/>
      <c r="P23" s="5"/>
      <c r="Q23" s="5"/>
      <c r="R23" s="5"/>
      <c r="S23" s="5"/>
      <c r="T23" s="5"/>
      <c r="U23" s="5"/>
    </row>
    <row r="24" spans="1:21">
      <c r="A24" s="2" t="s">
        <v>86</v>
      </c>
      <c r="B24" s="2" t="s">
        <v>87</v>
      </c>
      <c r="C24" s="3" t="s">
        <v>88</v>
      </c>
      <c r="D24" s="3" t="s">
        <v>82</v>
      </c>
      <c r="E24" s="2" t="s">
        <v>43</v>
      </c>
      <c r="F24" s="15" t="s">
        <v>292</v>
      </c>
      <c r="G24" s="6" t="s">
        <v>27</v>
      </c>
      <c r="H24" s="6" t="s">
        <v>389</v>
      </c>
      <c r="I24" s="17">
        <v>8</v>
      </c>
      <c r="J24" s="18">
        <f t="shared" si="0"/>
        <v>6.7333333333333334</v>
      </c>
      <c r="K24" s="20">
        <v>6.5</v>
      </c>
      <c r="L24" s="25">
        <f t="shared" si="1"/>
        <v>6.5933333333333337</v>
      </c>
      <c r="M24" s="6"/>
      <c r="N24" s="5"/>
      <c r="O24" s="5"/>
      <c r="P24" s="5"/>
      <c r="Q24" s="5"/>
      <c r="R24" s="5"/>
      <c r="S24" s="5"/>
      <c r="T24" s="5"/>
      <c r="U24" s="5"/>
    </row>
    <row r="25" spans="1:21">
      <c r="A25" s="2" t="s">
        <v>89</v>
      </c>
      <c r="B25" s="2" t="s">
        <v>90</v>
      </c>
      <c r="C25" s="3" t="s">
        <v>91</v>
      </c>
      <c r="D25" s="3" t="s">
        <v>82</v>
      </c>
      <c r="E25" s="2" t="s">
        <v>43</v>
      </c>
      <c r="F25" s="15" t="s">
        <v>293</v>
      </c>
      <c r="G25" s="6" t="s">
        <v>360</v>
      </c>
      <c r="H25" s="6" t="s">
        <v>386</v>
      </c>
      <c r="I25" s="17">
        <v>8</v>
      </c>
      <c r="J25" s="18">
        <f t="shared" si="0"/>
        <v>6.0666666666666664</v>
      </c>
      <c r="K25" s="20">
        <v>6</v>
      </c>
      <c r="L25" s="25">
        <f t="shared" si="1"/>
        <v>6.0266666666666664</v>
      </c>
      <c r="M25" s="6"/>
      <c r="N25" s="5"/>
      <c r="O25" s="5"/>
      <c r="P25" s="5"/>
      <c r="Q25" s="5"/>
      <c r="R25" s="5"/>
      <c r="S25" s="5"/>
      <c r="T25" s="5"/>
      <c r="U25" s="5"/>
    </row>
    <row r="26" spans="1:21">
      <c r="A26" s="2" t="s">
        <v>92</v>
      </c>
      <c r="B26" s="2" t="s">
        <v>93</v>
      </c>
      <c r="C26" s="3" t="s">
        <v>94</v>
      </c>
      <c r="D26" s="3" t="s">
        <v>82</v>
      </c>
      <c r="E26" s="2" t="s">
        <v>22</v>
      </c>
      <c r="F26" s="15" t="s">
        <v>294</v>
      </c>
      <c r="G26" s="6" t="s">
        <v>362</v>
      </c>
      <c r="H26" s="6" t="s">
        <v>388</v>
      </c>
      <c r="I26" s="17">
        <v>8</v>
      </c>
      <c r="J26" s="18">
        <f t="shared" si="0"/>
        <v>5.4833333333333334</v>
      </c>
      <c r="K26" s="20">
        <v>6</v>
      </c>
      <c r="L26" s="25">
        <f t="shared" si="1"/>
        <v>5.793333333333333</v>
      </c>
      <c r="M26" s="6"/>
      <c r="N26" s="5"/>
      <c r="O26" s="5"/>
      <c r="P26" s="5"/>
      <c r="Q26" s="5"/>
      <c r="R26" s="5"/>
      <c r="S26" s="5"/>
      <c r="T26" s="5"/>
      <c r="U26" s="5"/>
    </row>
    <row r="27" spans="1:21">
      <c r="A27" s="2" t="s">
        <v>95</v>
      </c>
      <c r="B27" s="2" t="s">
        <v>96</v>
      </c>
      <c r="C27" s="3" t="s">
        <v>97</v>
      </c>
      <c r="D27" s="3" t="s">
        <v>82</v>
      </c>
      <c r="E27" s="2" t="s">
        <v>10</v>
      </c>
      <c r="F27" s="15" t="s">
        <v>295</v>
      </c>
      <c r="G27" s="6" t="s">
        <v>363</v>
      </c>
      <c r="H27" s="6" t="s">
        <v>391</v>
      </c>
      <c r="I27" s="17">
        <v>7</v>
      </c>
      <c r="J27" s="18">
        <f t="shared" si="0"/>
        <v>5.1499999999999995</v>
      </c>
      <c r="K27" s="20">
        <v>4</v>
      </c>
      <c r="L27" s="25">
        <f t="shared" si="1"/>
        <v>4.46</v>
      </c>
      <c r="M27" s="6"/>
      <c r="N27" s="5"/>
      <c r="O27" s="5" t="s">
        <v>353</v>
      </c>
      <c r="P27" s="5"/>
      <c r="Q27" s="5"/>
      <c r="R27" s="5"/>
      <c r="S27" s="5"/>
      <c r="T27" s="5"/>
      <c r="U27" s="5"/>
    </row>
    <row r="28" spans="1:21">
      <c r="A28" s="2" t="s">
        <v>98</v>
      </c>
      <c r="B28" s="2" t="s">
        <v>99</v>
      </c>
      <c r="C28" s="3" t="s">
        <v>100</v>
      </c>
      <c r="D28" s="3" t="s">
        <v>101</v>
      </c>
      <c r="E28" s="2" t="s">
        <v>10</v>
      </c>
      <c r="F28" s="15" t="s">
        <v>296</v>
      </c>
      <c r="G28" s="6" t="s">
        <v>27</v>
      </c>
      <c r="H28" s="6" t="s">
        <v>392</v>
      </c>
      <c r="I28" s="17">
        <v>8</v>
      </c>
      <c r="J28" s="18">
        <f t="shared" si="0"/>
        <v>6.5666666666666664</v>
      </c>
      <c r="K28" s="20">
        <v>7</v>
      </c>
      <c r="L28" s="25">
        <f t="shared" si="1"/>
        <v>6.8266666666666671</v>
      </c>
      <c r="M28" s="6"/>
      <c r="N28" s="5"/>
      <c r="O28" s="5"/>
      <c r="P28" s="5"/>
      <c r="Q28" s="5"/>
      <c r="R28" s="5"/>
      <c r="S28" s="5"/>
      <c r="T28" s="5"/>
      <c r="U28" s="5"/>
    </row>
    <row r="29" spans="1:21">
      <c r="A29" s="2" t="s">
        <v>102</v>
      </c>
      <c r="B29" s="2" t="s">
        <v>103</v>
      </c>
      <c r="C29" s="3" t="s">
        <v>104</v>
      </c>
      <c r="D29" s="3" t="s">
        <v>105</v>
      </c>
      <c r="E29" s="2" t="s">
        <v>43</v>
      </c>
      <c r="F29" s="15" t="s">
        <v>297</v>
      </c>
      <c r="G29" s="6" t="s">
        <v>361</v>
      </c>
      <c r="H29" s="6" t="s">
        <v>360</v>
      </c>
      <c r="I29" s="17">
        <v>8</v>
      </c>
      <c r="J29" s="18">
        <f t="shared" si="0"/>
        <v>5.75</v>
      </c>
      <c r="K29" s="20">
        <v>6.5</v>
      </c>
      <c r="L29" s="25">
        <f t="shared" si="1"/>
        <v>6.2</v>
      </c>
      <c r="M29" s="6"/>
      <c r="N29" s="5"/>
      <c r="O29" s="5"/>
      <c r="P29" s="5"/>
      <c r="Q29" s="5"/>
      <c r="R29" s="5"/>
      <c r="S29" s="5"/>
      <c r="T29" s="5"/>
      <c r="U29" s="5"/>
    </row>
    <row r="30" spans="1:21">
      <c r="A30" s="2" t="s">
        <v>106</v>
      </c>
      <c r="B30" s="2" t="s">
        <v>107</v>
      </c>
      <c r="C30" s="3" t="s">
        <v>108</v>
      </c>
      <c r="D30" s="3" t="s">
        <v>109</v>
      </c>
      <c r="E30" s="2" t="s">
        <v>22</v>
      </c>
      <c r="F30" s="15" t="s">
        <v>298</v>
      </c>
      <c r="G30" s="6" t="s">
        <v>360</v>
      </c>
      <c r="H30" s="6" t="s">
        <v>23</v>
      </c>
      <c r="I30" s="17">
        <v>8</v>
      </c>
      <c r="J30" s="18">
        <f t="shared" si="0"/>
        <v>6.166666666666667</v>
      </c>
      <c r="K30" s="20">
        <v>6</v>
      </c>
      <c r="L30" s="25">
        <f t="shared" si="1"/>
        <v>6.0666666666666664</v>
      </c>
      <c r="M30" s="6" t="s">
        <v>342</v>
      </c>
      <c r="N30" s="5"/>
      <c r="O30" s="5"/>
      <c r="P30" s="5"/>
      <c r="Q30" s="5"/>
      <c r="R30" s="5"/>
      <c r="S30" s="5"/>
      <c r="T30" s="5"/>
      <c r="U30" s="5"/>
    </row>
    <row r="31" spans="1:21">
      <c r="A31" s="2" t="s">
        <v>110</v>
      </c>
      <c r="B31" s="2" t="s">
        <v>111</v>
      </c>
      <c r="C31" s="3" t="s">
        <v>112</v>
      </c>
      <c r="D31" s="3" t="s">
        <v>113</v>
      </c>
      <c r="E31" s="2" t="s">
        <v>43</v>
      </c>
      <c r="F31" s="15" t="s">
        <v>299</v>
      </c>
      <c r="G31" s="6" t="s">
        <v>358</v>
      </c>
      <c r="H31" s="6" t="s">
        <v>360</v>
      </c>
      <c r="I31" s="17">
        <v>8</v>
      </c>
      <c r="J31" s="18">
        <f t="shared" si="0"/>
        <v>6.583333333333333</v>
      </c>
      <c r="K31" s="20">
        <v>6.5</v>
      </c>
      <c r="L31" s="25">
        <f t="shared" si="1"/>
        <v>6.5333333333333332</v>
      </c>
      <c r="M31" s="6"/>
      <c r="N31" s="5"/>
      <c r="O31" s="5"/>
      <c r="P31" s="5"/>
      <c r="Q31" s="5"/>
      <c r="R31" s="5"/>
      <c r="S31" s="5"/>
      <c r="T31" s="5" t="s">
        <v>346</v>
      </c>
      <c r="U31" s="5"/>
    </row>
    <row r="32" spans="1:21">
      <c r="A32" s="2" t="s">
        <v>114</v>
      </c>
      <c r="B32" s="2" t="s">
        <v>115</v>
      </c>
      <c r="C32" s="3" t="s">
        <v>116</v>
      </c>
      <c r="D32" s="3" t="s">
        <v>117</v>
      </c>
      <c r="E32" s="2" t="s">
        <v>22</v>
      </c>
      <c r="F32" s="15" t="s">
        <v>300</v>
      </c>
      <c r="G32" s="6" t="s">
        <v>19</v>
      </c>
      <c r="H32" s="6" t="s">
        <v>357</v>
      </c>
      <c r="I32" s="17">
        <v>8</v>
      </c>
      <c r="J32" s="18">
        <f t="shared" si="0"/>
        <v>5.5</v>
      </c>
      <c r="K32" s="20">
        <v>7</v>
      </c>
      <c r="L32" s="25">
        <f t="shared" si="1"/>
        <v>6.4</v>
      </c>
      <c r="M32" s="6"/>
      <c r="N32" s="5"/>
      <c r="O32" s="5"/>
      <c r="P32" s="5"/>
      <c r="Q32" s="5"/>
      <c r="R32" s="5"/>
      <c r="S32" s="5"/>
      <c r="T32" s="5"/>
      <c r="U32" s="5"/>
    </row>
    <row r="33" spans="1:22">
      <c r="A33" s="2" t="s">
        <v>118</v>
      </c>
      <c r="B33" s="2" t="s">
        <v>119</v>
      </c>
      <c r="C33" s="3" t="s">
        <v>120</v>
      </c>
      <c r="D33" s="3" t="s">
        <v>117</v>
      </c>
      <c r="E33" s="2" t="s">
        <v>10</v>
      </c>
      <c r="F33" s="15" t="s">
        <v>301</v>
      </c>
      <c r="G33" s="6" t="s">
        <v>15</v>
      </c>
      <c r="H33" s="6" t="s">
        <v>390</v>
      </c>
      <c r="I33" s="17">
        <v>7</v>
      </c>
      <c r="J33" s="18">
        <f t="shared" si="0"/>
        <v>5.0666666666666664</v>
      </c>
      <c r="K33" s="22">
        <v>6</v>
      </c>
      <c r="L33" s="25">
        <f t="shared" si="1"/>
        <v>5.6266666666666669</v>
      </c>
      <c r="M33" s="6"/>
      <c r="N33" s="5"/>
      <c r="O33" s="5"/>
      <c r="P33" s="5" t="s">
        <v>342</v>
      </c>
      <c r="Q33" s="5"/>
      <c r="R33" s="5"/>
      <c r="S33" s="5"/>
      <c r="T33" s="5"/>
      <c r="U33" s="5"/>
    </row>
    <row r="34" spans="1:22">
      <c r="A34" s="2" t="s">
        <v>121</v>
      </c>
      <c r="B34" s="2" t="s">
        <v>122</v>
      </c>
      <c r="C34" s="3" t="s">
        <v>123</v>
      </c>
      <c r="D34" s="3" t="s">
        <v>124</v>
      </c>
      <c r="E34" s="2" t="s">
        <v>22</v>
      </c>
      <c r="F34" s="15" t="s">
        <v>302</v>
      </c>
      <c r="G34" s="6" t="s">
        <v>360</v>
      </c>
      <c r="H34" s="6" t="s">
        <v>387</v>
      </c>
      <c r="I34" s="17">
        <v>8</v>
      </c>
      <c r="J34" s="18">
        <f t="shared" si="0"/>
        <v>5.8999999999999995</v>
      </c>
      <c r="K34" s="20">
        <v>6.5</v>
      </c>
      <c r="L34" s="25">
        <f t="shared" si="1"/>
        <v>6.26</v>
      </c>
      <c r="M34" s="6"/>
      <c r="N34" s="5"/>
      <c r="O34" s="5"/>
      <c r="P34" s="5"/>
      <c r="Q34" s="5"/>
      <c r="R34" s="5"/>
      <c r="S34" s="5"/>
      <c r="T34" s="5"/>
      <c r="U34" s="5"/>
    </row>
    <row r="35" spans="1:22">
      <c r="A35" s="2" t="s">
        <v>125</v>
      </c>
      <c r="B35" s="2" t="s">
        <v>126</v>
      </c>
      <c r="C35" s="3" t="s">
        <v>127</v>
      </c>
      <c r="D35" s="3" t="s">
        <v>128</v>
      </c>
      <c r="E35" s="2" t="s">
        <v>10</v>
      </c>
      <c r="F35" s="15" t="s">
        <v>303</v>
      </c>
      <c r="G35" s="6" t="s">
        <v>358</v>
      </c>
      <c r="H35" s="6" t="s">
        <v>393</v>
      </c>
      <c r="I35" s="17">
        <v>8</v>
      </c>
      <c r="J35" s="18">
        <f t="shared" si="0"/>
        <v>6.9833333333333334</v>
      </c>
      <c r="K35" s="20">
        <v>7</v>
      </c>
      <c r="L35" s="25">
        <f t="shared" si="1"/>
        <v>6.9933333333333341</v>
      </c>
      <c r="M35" s="6"/>
      <c r="N35" s="5"/>
      <c r="O35" s="5"/>
      <c r="P35" s="5"/>
      <c r="Q35" s="5"/>
      <c r="R35" s="5"/>
      <c r="S35" s="5"/>
      <c r="T35" s="5"/>
      <c r="U35" s="5"/>
    </row>
    <row r="36" spans="1:22">
      <c r="A36" s="2" t="s">
        <v>129</v>
      </c>
      <c r="B36" s="2" t="s">
        <v>130</v>
      </c>
      <c r="C36" s="3" t="s">
        <v>131</v>
      </c>
      <c r="D36" s="3" t="s">
        <v>128</v>
      </c>
      <c r="E36" s="2" t="s">
        <v>10</v>
      </c>
      <c r="F36" s="15" t="s">
        <v>304</v>
      </c>
      <c r="G36" s="6" t="s">
        <v>359</v>
      </c>
      <c r="H36" s="6" t="s">
        <v>387</v>
      </c>
      <c r="I36" s="17">
        <v>8</v>
      </c>
      <c r="J36" s="18">
        <f t="shared" si="0"/>
        <v>5.9833333333333334</v>
      </c>
      <c r="K36" s="20">
        <v>7.5</v>
      </c>
      <c r="L36" s="25">
        <f t="shared" si="1"/>
        <v>6.8933333333333335</v>
      </c>
      <c r="M36" s="6"/>
      <c r="N36" s="5"/>
      <c r="O36" s="5"/>
      <c r="P36" s="5"/>
      <c r="Q36" s="5"/>
      <c r="R36" s="5"/>
      <c r="S36" s="5"/>
      <c r="T36" s="5"/>
      <c r="U36" s="5"/>
    </row>
    <row r="37" spans="1:22">
      <c r="A37" s="2" t="s">
        <v>132</v>
      </c>
      <c r="B37" s="2" t="s">
        <v>133</v>
      </c>
      <c r="C37" s="3" t="s">
        <v>134</v>
      </c>
      <c r="D37" s="3" t="s">
        <v>135</v>
      </c>
      <c r="E37" s="2" t="s">
        <v>22</v>
      </c>
      <c r="F37" s="15" t="s">
        <v>305</v>
      </c>
      <c r="G37" s="6" t="s">
        <v>363</v>
      </c>
      <c r="H37" s="6" t="s">
        <v>357</v>
      </c>
      <c r="I37" s="17">
        <v>8</v>
      </c>
      <c r="J37" s="18">
        <f t="shared" si="0"/>
        <v>5.75</v>
      </c>
      <c r="K37" s="20">
        <v>7.5</v>
      </c>
      <c r="L37" s="25">
        <f t="shared" si="1"/>
        <v>6.8000000000000007</v>
      </c>
      <c r="M37" s="6"/>
      <c r="N37" s="5"/>
      <c r="O37" s="5"/>
      <c r="P37" s="5"/>
      <c r="Q37" s="5"/>
      <c r="R37" s="5"/>
      <c r="S37" s="5"/>
      <c r="T37" s="5"/>
      <c r="U37" s="5"/>
    </row>
    <row r="38" spans="1:22">
      <c r="A38" s="2" t="s">
        <v>136</v>
      </c>
      <c r="B38" s="2" t="s">
        <v>137</v>
      </c>
      <c r="C38" s="3" t="s">
        <v>138</v>
      </c>
      <c r="D38" s="3" t="s">
        <v>139</v>
      </c>
      <c r="E38" s="2" t="s">
        <v>43</v>
      </c>
      <c r="F38" s="15" t="s">
        <v>306</v>
      </c>
      <c r="G38" s="6" t="s">
        <v>360</v>
      </c>
      <c r="H38" s="6" t="s">
        <v>387</v>
      </c>
      <c r="I38" s="17">
        <v>8</v>
      </c>
      <c r="J38" s="18">
        <f t="shared" si="0"/>
        <v>5.8999999999999995</v>
      </c>
      <c r="K38" s="20">
        <v>7</v>
      </c>
      <c r="L38" s="25">
        <f t="shared" si="1"/>
        <v>6.5600000000000005</v>
      </c>
      <c r="M38" s="6"/>
      <c r="N38" s="5"/>
      <c r="O38" s="5"/>
      <c r="P38" s="5"/>
      <c r="Q38" s="5"/>
      <c r="R38" s="5"/>
      <c r="S38" s="5"/>
      <c r="T38" s="5"/>
      <c r="U38" s="5"/>
    </row>
    <row r="39" spans="1:22">
      <c r="A39" s="2" t="s">
        <v>140</v>
      </c>
      <c r="B39" s="2" t="s">
        <v>141</v>
      </c>
      <c r="C39" s="3" t="s">
        <v>142</v>
      </c>
      <c r="D39" s="3" t="s">
        <v>143</v>
      </c>
      <c r="E39" s="2" t="s">
        <v>43</v>
      </c>
      <c r="F39" s="15" t="s">
        <v>307</v>
      </c>
      <c r="G39" s="6" t="s">
        <v>358</v>
      </c>
      <c r="H39" s="6" t="s">
        <v>31</v>
      </c>
      <c r="I39" s="17">
        <v>7</v>
      </c>
      <c r="J39" s="18">
        <f t="shared" si="0"/>
        <v>6.75</v>
      </c>
      <c r="K39" s="20">
        <v>6</v>
      </c>
      <c r="L39" s="25">
        <f t="shared" si="1"/>
        <v>6.3</v>
      </c>
      <c r="M39" s="6" t="s">
        <v>342</v>
      </c>
      <c r="N39" s="5"/>
      <c r="O39" s="5"/>
      <c r="P39" s="5"/>
      <c r="Q39" s="5"/>
      <c r="R39" s="5"/>
      <c r="S39" s="5" t="s">
        <v>342</v>
      </c>
      <c r="T39" s="5"/>
      <c r="U39" s="5"/>
    </row>
    <row r="40" spans="1:22">
      <c r="A40" s="2" t="s">
        <v>144</v>
      </c>
      <c r="B40" s="2" t="s">
        <v>145</v>
      </c>
      <c r="C40" s="3" t="s">
        <v>146</v>
      </c>
      <c r="D40" s="3" t="s">
        <v>147</v>
      </c>
      <c r="E40" s="2" t="s">
        <v>43</v>
      </c>
      <c r="F40" s="15" t="s">
        <v>308</v>
      </c>
      <c r="G40" s="6" t="s">
        <v>356</v>
      </c>
      <c r="H40" s="6" t="s">
        <v>27</v>
      </c>
      <c r="I40" s="17">
        <v>8</v>
      </c>
      <c r="J40" s="18">
        <f t="shared" si="0"/>
        <v>7.5</v>
      </c>
      <c r="K40" s="20">
        <v>8</v>
      </c>
      <c r="L40" s="25">
        <f t="shared" si="1"/>
        <v>7.8</v>
      </c>
      <c r="M40" s="6"/>
      <c r="N40" s="5"/>
      <c r="O40" s="5"/>
      <c r="P40" s="5"/>
      <c r="Q40" s="5"/>
      <c r="R40" s="5"/>
      <c r="S40" s="5" t="s">
        <v>342</v>
      </c>
      <c r="T40" s="5"/>
      <c r="U40" s="5"/>
      <c r="V40" t="s">
        <v>377</v>
      </c>
    </row>
    <row r="41" spans="1:22">
      <c r="A41" s="2" t="s">
        <v>148</v>
      </c>
      <c r="B41" s="2" t="s">
        <v>149</v>
      </c>
      <c r="C41" s="3" t="s">
        <v>150</v>
      </c>
      <c r="D41" s="3" t="s">
        <v>151</v>
      </c>
      <c r="E41" s="2" t="s">
        <v>10</v>
      </c>
      <c r="F41" s="15" t="s">
        <v>309</v>
      </c>
      <c r="G41" s="6" t="s">
        <v>361</v>
      </c>
      <c r="H41" s="6" t="s">
        <v>19</v>
      </c>
      <c r="I41" s="17">
        <v>7</v>
      </c>
      <c r="J41" s="18">
        <f t="shared" si="0"/>
        <v>4.916666666666667</v>
      </c>
      <c r="K41" s="20">
        <v>4.5</v>
      </c>
      <c r="L41" s="25">
        <f t="shared" si="1"/>
        <v>4.6666666666666661</v>
      </c>
      <c r="M41" s="6"/>
      <c r="N41" s="5" t="s">
        <v>342</v>
      </c>
      <c r="O41" s="5"/>
      <c r="P41" s="5"/>
      <c r="Q41" s="5"/>
      <c r="R41" s="5"/>
      <c r="S41" s="5"/>
      <c r="T41" s="5"/>
      <c r="U41" s="12" t="s">
        <v>381</v>
      </c>
      <c r="V41" t="s">
        <v>379</v>
      </c>
    </row>
    <row r="42" spans="1:22">
      <c r="A42" s="2" t="s">
        <v>152</v>
      </c>
      <c r="B42" s="2" t="s">
        <v>153</v>
      </c>
      <c r="C42" s="3" t="s">
        <v>154</v>
      </c>
      <c r="D42" s="3" t="s">
        <v>155</v>
      </c>
      <c r="E42" s="2" t="s">
        <v>10</v>
      </c>
      <c r="F42" s="15" t="s">
        <v>310</v>
      </c>
      <c r="G42" s="6" t="s">
        <v>369</v>
      </c>
      <c r="H42" s="6" t="s">
        <v>386</v>
      </c>
      <c r="I42" s="17">
        <v>8</v>
      </c>
      <c r="J42" s="18">
        <f t="shared" si="0"/>
        <v>6.3999999999999995</v>
      </c>
      <c r="K42" s="20">
        <v>5.5</v>
      </c>
      <c r="L42" s="25">
        <f t="shared" si="1"/>
        <v>5.8599999999999994</v>
      </c>
      <c r="M42" s="6"/>
      <c r="N42" s="5"/>
      <c r="O42" s="5"/>
      <c r="P42" s="5"/>
      <c r="Q42" s="5"/>
      <c r="R42" s="5"/>
      <c r="S42" s="5"/>
      <c r="T42" s="5"/>
      <c r="U42" s="5"/>
    </row>
    <row r="43" spans="1:22">
      <c r="A43" s="2" t="s">
        <v>156</v>
      </c>
      <c r="B43" s="2" t="s">
        <v>157</v>
      </c>
      <c r="C43" s="3" t="s">
        <v>146</v>
      </c>
      <c r="D43" s="3" t="s">
        <v>158</v>
      </c>
      <c r="E43" s="2" t="s">
        <v>43</v>
      </c>
      <c r="F43" s="15" t="s">
        <v>311</v>
      </c>
      <c r="G43" s="6" t="s">
        <v>359</v>
      </c>
      <c r="H43" s="6" t="s">
        <v>27</v>
      </c>
      <c r="I43" s="17">
        <v>8</v>
      </c>
      <c r="J43" s="18">
        <f t="shared" si="0"/>
        <v>6.583333333333333</v>
      </c>
      <c r="K43" s="20">
        <v>6.5</v>
      </c>
      <c r="L43" s="25">
        <f t="shared" si="1"/>
        <v>6.5333333333333332</v>
      </c>
      <c r="M43" s="6"/>
      <c r="N43" s="5"/>
      <c r="O43" s="5"/>
      <c r="P43" s="5" t="s">
        <v>342</v>
      </c>
      <c r="Q43" s="5"/>
      <c r="R43" s="5"/>
      <c r="S43" s="5"/>
      <c r="T43" s="5"/>
      <c r="U43" s="5"/>
    </row>
    <row r="44" spans="1:22">
      <c r="A44" s="2" t="s">
        <v>159</v>
      </c>
      <c r="B44" s="2" t="s">
        <v>160</v>
      </c>
      <c r="C44" s="3" t="s">
        <v>161</v>
      </c>
      <c r="D44" s="3" t="s">
        <v>162</v>
      </c>
      <c r="E44" s="2" t="s">
        <v>22</v>
      </c>
      <c r="F44" s="15" t="s">
        <v>312</v>
      </c>
      <c r="G44" s="6" t="s">
        <v>23</v>
      </c>
      <c r="H44" s="6" t="s">
        <v>387</v>
      </c>
      <c r="I44" s="17">
        <v>8</v>
      </c>
      <c r="J44" s="18">
        <f t="shared" si="0"/>
        <v>5.7333333333333334</v>
      </c>
      <c r="K44" s="20">
        <v>8.5</v>
      </c>
      <c r="L44" s="25">
        <f t="shared" si="1"/>
        <v>7.3933333333333326</v>
      </c>
      <c r="M44" s="6"/>
      <c r="N44" s="5"/>
      <c r="O44" s="5"/>
      <c r="P44" s="5"/>
      <c r="Q44" s="5"/>
      <c r="R44" s="5"/>
      <c r="S44" s="5"/>
      <c r="T44" s="5"/>
      <c r="U44" s="5"/>
    </row>
    <row r="45" spans="1:22">
      <c r="A45" s="2" t="s">
        <v>163</v>
      </c>
      <c r="B45" s="2" t="s">
        <v>164</v>
      </c>
      <c r="C45" s="3" t="s">
        <v>165</v>
      </c>
      <c r="D45" s="3" t="s">
        <v>166</v>
      </c>
      <c r="E45" s="2" t="s">
        <v>22</v>
      </c>
      <c r="F45" s="15" t="s">
        <v>313</v>
      </c>
      <c r="G45" s="6" t="s">
        <v>367</v>
      </c>
      <c r="H45" s="6" t="s">
        <v>360</v>
      </c>
      <c r="I45" s="17">
        <v>7</v>
      </c>
      <c r="J45" s="18">
        <f t="shared" si="0"/>
        <v>5.333333333333333</v>
      </c>
      <c r="K45" s="20">
        <v>7</v>
      </c>
      <c r="L45" s="25">
        <f t="shared" si="1"/>
        <v>6.3333333333333339</v>
      </c>
      <c r="M45" s="6" t="s">
        <v>342</v>
      </c>
      <c r="N45" s="5"/>
      <c r="O45" s="5"/>
      <c r="P45" s="5"/>
      <c r="Q45" s="5"/>
      <c r="R45" s="5"/>
      <c r="S45" s="5"/>
      <c r="T45" s="5"/>
      <c r="U45" s="5"/>
    </row>
    <row r="46" spans="1:22">
      <c r="A46" s="2" t="s">
        <v>167</v>
      </c>
      <c r="B46" s="2" t="s">
        <v>168</v>
      </c>
      <c r="C46" s="3" t="s">
        <v>169</v>
      </c>
      <c r="D46" s="3" t="s">
        <v>166</v>
      </c>
      <c r="E46" s="2" t="s">
        <v>170</v>
      </c>
      <c r="F46" s="15" t="s">
        <v>314</v>
      </c>
      <c r="G46" s="6" t="s">
        <v>366</v>
      </c>
      <c r="H46" s="6" t="s">
        <v>364</v>
      </c>
      <c r="I46" s="17">
        <v>9</v>
      </c>
      <c r="J46" s="18">
        <f t="shared" si="0"/>
        <v>7.75</v>
      </c>
      <c r="K46" s="20">
        <v>7.5</v>
      </c>
      <c r="L46" s="25">
        <f t="shared" si="1"/>
        <v>7.6</v>
      </c>
      <c r="M46" s="6"/>
      <c r="N46" s="5"/>
      <c r="O46" s="5"/>
      <c r="P46" s="5"/>
      <c r="Q46" s="5"/>
      <c r="R46" s="5"/>
      <c r="S46" s="5"/>
      <c r="T46" s="5"/>
      <c r="U46" s="5"/>
    </row>
    <row r="47" spans="1:22">
      <c r="A47" s="2" t="s">
        <v>171</v>
      </c>
      <c r="B47" s="2" t="s">
        <v>172</v>
      </c>
      <c r="C47" s="3" t="s">
        <v>173</v>
      </c>
      <c r="D47" s="3" t="s">
        <v>174</v>
      </c>
      <c r="E47" s="2" t="s">
        <v>10</v>
      </c>
      <c r="F47" s="15" t="s">
        <v>315</v>
      </c>
      <c r="G47" s="6" t="s">
        <v>368</v>
      </c>
      <c r="H47" s="6" t="s">
        <v>19</v>
      </c>
      <c r="I47" s="17">
        <v>7</v>
      </c>
      <c r="J47" s="18">
        <f t="shared" si="0"/>
        <v>4.583333333333333</v>
      </c>
      <c r="K47" s="20">
        <v>3.5</v>
      </c>
      <c r="L47" s="25">
        <f t="shared" si="1"/>
        <v>3.9333333333333336</v>
      </c>
      <c r="M47" s="6"/>
      <c r="N47" s="5"/>
      <c r="O47" s="5"/>
      <c r="P47" s="5"/>
      <c r="Q47" s="5"/>
      <c r="R47" s="5"/>
      <c r="S47" s="5" t="s">
        <v>342</v>
      </c>
      <c r="T47" s="5"/>
      <c r="U47" s="5"/>
    </row>
    <row r="48" spans="1:22">
      <c r="A48" s="2" t="s">
        <v>175</v>
      </c>
      <c r="B48" s="2" t="s">
        <v>176</v>
      </c>
      <c r="C48" s="3" t="s">
        <v>177</v>
      </c>
      <c r="D48" s="3" t="s">
        <v>178</v>
      </c>
      <c r="E48" s="2" t="s">
        <v>22</v>
      </c>
      <c r="F48" s="15" t="s">
        <v>316</v>
      </c>
      <c r="G48" s="6" t="s">
        <v>362</v>
      </c>
      <c r="H48" s="6" t="s">
        <v>23</v>
      </c>
      <c r="I48" s="17">
        <v>8</v>
      </c>
      <c r="J48" s="18">
        <f t="shared" si="0"/>
        <v>6.083333333333333</v>
      </c>
      <c r="K48" s="20">
        <v>5</v>
      </c>
      <c r="L48" s="25">
        <f t="shared" si="1"/>
        <v>5.4333333333333336</v>
      </c>
      <c r="M48" s="6"/>
      <c r="N48" s="5"/>
      <c r="O48" s="5"/>
      <c r="P48" s="5"/>
      <c r="Q48" s="5"/>
      <c r="R48" s="5"/>
      <c r="S48" s="5"/>
      <c r="T48" s="5"/>
      <c r="U48" s="5"/>
    </row>
    <row r="49" spans="1:24">
      <c r="A49" s="2" t="s">
        <v>179</v>
      </c>
      <c r="B49" s="2" t="s">
        <v>180</v>
      </c>
      <c r="C49" s="3" t="s">
        <v>181</v>
      </c>
      <c r="D49" s="3" t="s">
        <v>182</v>
      </c>
      <c r="E49" s="2" t="s">
        <v>22</v>
      </c>
      <c r="F49" s="15" t="s">
        <v>317</v>
      </c>
      <c r="G49" s="6" t="s">
        <v>368</v>
      </c>
      <c r="H49" s="6" t="s">
        <v>387</v>
      </c>
      <c r="I49" s="17">
        <v>7</v>
      </c>
      <c r="J49" s="18">
        <f t="shared" si="0"/>
        <v>4.6499999999999995</v>
      </c>
      <c r="K49" s="20">
        <v>7.5</v>
      </c>
      <c r="L49" s="25">
        <f t="shared" si="1"/>
        <v>6.3599999999999994</v>
      </c>
      <c r="M49" s="6"/>
      <c r="N49" s="5"/>
      <c r="O49" s="5"/>
      <c r="P49" s="5"/>
      <c r="Q49" s="5"/>
      <c r="R49" s="5"/>
      <c r="S49" s="5"/>
      <c r="T49" s="5"/>
      <c r="U49" s="5"/>
    </row>
    <row r="50" spans="1:24">
      <c r="A50" s="2" t="s">
        <v>183</v>
      </c>
      <c r="B50" s="2" t="s">
        <v>184</v>
      </c>
      <c r="C50" s="3" t="s">
        <v>185</v>
      </c>
      <c r="D50" s="3" t="s">
        <v>182</v>
      </c>
      <c r="E50" s="2" t="s">
        <v>22</v>
      </c>
      <c r="F50" s="15" t="s">
        <v>318</v>
      </c>
      <c r="G50" s="6" t="s">
        <v>27</v>
      </c>
      <c r="H50">
        <v>4</v>
      </c>
      <c r="I50" s="17">
        <v>7</v>
      </c>
      <c r="J50" s="18">
        <f t="shared" si="0"/>
        <v>5.666666666666667</v>
      </c>
      <c r="K50" s="20">
        <v>6.5</v>
      </c>
      <c r="L50" s="25">
        <f t="shared" si="1"/>
        <v>6.166666666666667</v>
      </c>
      <c r="M50" s="6" t="s">
        <v>346</v>
      </c>
      <c r="N50" s="5"/>
      <c r="O50" s="5"/>
      <c r="P50" s="5"/>
      <c r="Q50" s="5"/>
      <c r="R50" s="5"/>
      <c r="S50" s="5"/>
      <c r="T50" s="5"/>
      <c r="U50" s="5" t="s">
        <v>346</v>
      </c>
    </row>
    <row r="51" spans="1:24">
      <c r="A51" s="2" t="s">
        <v>186</v>
      </c>
      <c r="B51" s="2" t="s">
        <v>187</v>
      </c>
      <c r="C51" s="3" t="s">
        <v>188</v>
      </c>
      <c r="D51" s="3" t="s">
        <v>189</v>
      </c>
      <c r="E51" s="2" t="s">
        <v>43</v>
      </c>
      <c r="F51" s="15" t="s">
        <v>319</v>
      </c>
      <c r="G51" s="6" t="s">
        <v>357</v>
      </c>
      <c r="H51" s="6" t="s">
        <v>27</v>
      </c>
      <c r="I51" s="17">
        <v>7</v>
      </c>
      <c r="J51" s="18">
        <f t="shared" si="0"/>
        <v>5.833333333333333</v>
      </c>
      <c r="K51" s="20">
        <v>7</v>
      </c>
      <c r="L51" s="25">
        <f t="shared" si="1"/>
        <v>6.5333333333333332</v>
      </c>
      <c r="M51" s="6"/>
      <c r="N51" s="5"/>
      <c r="O51" s="5"/>
      <c r="P51" s="5" t="s">
        <v>342</v>
      </c>
      <c r="Q51" s="5"/>
      <c r="R51" s="5"/>
      <c r="S51" s="5"/>
      <c r="T51" s="5"/>
      <c r="U51" s="5"/>
    </row>
    <row r="52" spans="1:24">
      <c r="A52" s="2" t="s">
        <v>190</v>
      </c>
      <c r="B52" s="2" t="s">
        <v>191</v>
      </c>
      <c r="C52" s="3" t="s">
        <v>192</v>
      </c>
      <c r="D52" s="3" t="s">
        <v>193</v>
      </c>
      <c r="E52" s="2" t="s">
        <v>10</v>
      </c>
      <c r="F52" s="15" t="s">
        <v>320</v>
      </c>
      <c r="G52" s="6" t="s">
        <v>371</v>
      </c>
      <c r="H52" s="6" t="s">
        <v>391</v>
      </c>
      <c r="I52" s="17">
        <v>7</v>
      </c>
      <c r="J52" s="18">
        <f t="shared" si="0"/>
        <v>4.3999999999999995</v>
      </c>
      <c r="K52" s="20">
        <v>4</v>
      </c>
      <c r="L52" s="25">
        <f t="shared" si="1"/>
        <v>4.16</v>
      </c>
      <c r="M52" s="6"/>
      <c r="N52" s="5"/>
      <c r="O52" s="5"/>
      <c r="P52" s="5"/>
      <c r="Q52" s="5"/>
      <c r="R52" s="5"/>
      <c r="S52" s="5"/>
      <c r="T52" s="5"/>
      <c r="U52" s="5" t="s">
        <v>376</v>
      </c>
    </row>
    <row r="53" spans="1:24">
      <c r="A53" s="2" t="s">
        <v>194</v>
      </c>
      <c r="B53" s="2" t="s">
        <v>195</v>
      </c>
      <c r="C53" s="3" t="s">
        <v>196</v>
      </c>
      <c r="D53" s="3" t="s">
        <v>197</v>
      </c>
      <c r="E53" s="2" t="s">
        <v>10</v>
      </c>
      <c r="F53" s="15" t="s">
        <v>321</v>
      </c>
      <c r="G53" s="6" t="s">
        <v>362</v>
      </c>
      <c r="H53" s="6" t="s">
        <v>19</v>
      </c>
      <c r="I53" s="17">
        <v>8</v>
      </c>
      <c r="J53" s="18">
        <f t="shared" si="0"/>
        <v>5.75</v>
      </c>
      <c r="K53" s="20">
        <v>6.5</v>
      </c>
      <c r="L53" s="25">
        <f t="shared" si="1"/>
        <v>6.2</v>
      </c>
      <c r="M53" s="6"/>
      <c r="N53" s="5"/>
      <c r="O53" s="5"/>
      <c r="P53" s="5"/>
      <c r="Q53" s="5"/>
      <c r="R53" s="5"/>
      <c r="S53" s="5"/>
      <c r="T53" s="5"/>
      <c r="U53" s="5"/>
    </row>
    <row r="54" spans="1:24">
      <c r="A54" s="2" t="s">
        <v>198</v>
      </c>
      <c r="B54" s="2" t="s">
        <v>199</v>
      </c>
      <c r="C54" s="3" t="s">
        <v>33</v>
      </c>
      <c r="D54" s="3" t="s">
        <v>197</v>
      </c>
      <c r="E54" s="2" t="s">
        <v>22</v>
      </c>
      <c r="F54" s="15" t="s">
        <v>322</v>
      </c>
      <c r="G54" s="6" t="s">
        <v>365</v>
      </c>
      <c r="H54" s="6" t="s">
        <v>23</v>
      </c>
      <c r="I54" s="17">
        <v>8</v>
      </c>
      <c r="J54" s="18">
        <f t="shared" si="0"/>
        <v>5.75</v>
      </c>
      <c r="K54" s="20">
        <v>7.5</v>
      </c>
      <c r="L54" s="25">
        <f t="shared" si="1"/>
        <v>6.8000000000000007</v>
      </c>
      <c r="M54" s="6"/>
      <c r="N54" s="5"/>
      <c r="O54" s="5"/>
      <c r="P54" s="5"/>
      <c r="Q54" s="5"/>
      <c r="R54" s="5"/>
      <c r="S54" s="5"/>
      <c r="T54" s="5"/>
      <c r="U54" s="5"/>
    </row>
    <row r="55" spans="1:24">
      <c r="A55" s="2" t="s">
        <v>200</v>
      </c>
      <c r="B55" s="2" t="s">
        <v>201</v>
      </c>
      <c r="C55" s="3" t="s">
        <v>202</v>
      </c>
      <c r="D55" s="3" t="s">
        <v>203</v>
      </c>
      <c r="E55" s="2" t="s">
        <v>10</v>
      </c>
      <c r="F55" s="15" t="s">
        <v>323</v>
      </c>
      <c r="G55" s="6" t="s">
        <v>31</v>
      </c>
      <c r="H55" s="6" t="s">
        <v>387</v>
      </c>
      <c r="I55" s="17">
        <v>8</v>
      </c>
      <c r="J55" s="18">
        <f t="shared" si="0"/>
        <v>6.3999999999999995</v>
      </c>
      <c r="K55" s="20">
        <v>7</v>
      </c>
      <c r="L55" s="25">
        <f t="shared" si="1"/>
        <v>6.76</v>
      </c>
      <c r="M55" s="6"/>
      <c r="N55" s="5"/>
      <c r="O55" s="5"/>
      <c r="P55" s="5"/>
      <c r="Q55" s="5"/>
      <c r="R55" s="5"/>
      <c r="S55" s="5"/>
      <c r="T55" s="5"/>
      <c r="U55" s="5"/>
    </row>
    <row r="56" spans="1:24">
      <c r="A56" s="2" t="s">
        <v>204</v>
      </c>
      <c r="B56" s="2" t="s">
        <v>205</v>
      </c>
      <c r="C56" s="3" t="s">
        <v>206</v>
      </c>
      <c r="D56" s="3" t="s">
        <v>203</v>
      </c>
      <c r="E56" s="2" t="s">
        <v>10</v>
      </c>
      <c r="F56" s="15" t="s">
        <v>324</v>
      </c>
      <c r="G56" s="6" t="s">
        <v>360</v>
      </c>
      <c r="H56" s="6" t="s">
        <v>389</v>
      </c>
      <c r="I56" s="17">
        <v>8</v>
      </c>
      <c r="J56" s="18">
        <f t="shared" si="0"/>
        <v>6.5666666666666664</v>
      </c>
      <c r="K56" s="20">
        <v>7.5</v>
      </c>
      <c r="L56" s="25">
        <f t="shared" si="1"/>
        <v>7.1266666666666669</v>
      </c>
      <c r="M56" s="6"/>
      <c r="N56" s="5"/>
      <c r="O56" s="5"/>
      <c r="P56" s="5"/>
      <c r="Q56" s="5"/>
      <c r="R56" s="5"/>
      <c r="S56" s="5"/>
      <c r="T56" s="5"/>
      <c r="U56" s="5"/>
    </row>
    <row r="57" spans="1:24">
      <c r="A57" s="2" t="s">
        <v>207</v>
      </c>
      <c r="B57" s="2" t="s">
        <v>208</v>
      </c>
      <c r="C57" s="3" t="s">
        <v>209</v>
      </c>
      <c r="D57" s="3" t="s">
        <v>203</v>
      </c>
      <c r="E57" s="2" t="s">
        <v>43</v>
      </c>
      <c r="F57" s="15" t="s">
        <v>325</v>
      </c>
      <c r="G57" s="6" t="s">
        <v>358</v>
      </c>
      <c r="H57" s="6" t="s">
        <v>391</v>
      </c>
      <c r="I57" s="17">
        <v>8</v>
      </c>
      <c r="J57" s="18">
        <f t="shared" si="0"/>
        <v>5.9833333333333334</v>
      </c>
      <c r="K57" s="20">
        <v>5</v>
      </c>
      <c r="L57" s="25">
        <f t="shared" si="1"/>
        <v>5.3933333333333335</v>
      </c>
      <c r="M57" s="6"/>
      <c r="N57" s="5"/>
      <c r="O57" s="5"/>
      <c r="P57" s="5"/>
      <c r="Q57" s="5"/>
      <c r="R57" s="5"/>
      <c r="S57" s="5"/>
      <c r="T57" s="5" t="s">
        <v>374</v>
      </c>
      <c r="U57" s="5"/>
    </row>
    <row r="58" spans="1:24">
      <c r="A58" s="2" t="s">
        <v>210</v>
      </c>
      <c r="B58" s="2" t="s">
        <v>211</v>
      </c>
      <c r="C58" s="3" t="s">
        <v>212</v>
      </c>
      <c r="D58" s="3" t="s">
        <v>213</v>
      </c>
      <c r="E58" s="2" t="s">
        <v>22</v>
      </c>
      <c r="F58" s="15" t="s">
        <v>326</v>
      </c>
      <c r="G58" s="6" t="s">
        <v>19</v>
      </c>
      <c r="H58" s="6" t="s">
        <v>19</v>
      </c>
      <c r="I58" s="17">
        <v>7</v>
      </c>
      <c r="J58" s="18">
        <f t="shared" si="0"/>
        <v>5</v>
      </c>
      <c r="K58" s="20">
        <v>7</v>
      </c>
      <c r="L58" s="25">
        <f t="shared" si="1"/>
        <v>6.2</v>
      </c>
      <c r="M58" s="6"/>
      <c r="N58" s="5"/>
      <c r="O58" s="5"/>
      <c r="P58" s="5"/>
      <c r="Q58" s="5"/>
      <c r="R58" s="5"/>
      <c r="S58" s="5"/>
      <c r="T58" s="5"/>
      <c r="U58" s="5"/>
      <c r="X58" s="10"/>
    </row>
    <row r="59" spans="1:24">
      <c r="A59" s="2" t="s">
        <v>214</v>
      </c>
      <c r="B59" s="2" t="s">
        <v>215</v>
      </c>
      <c r="C59" s="3" t="s">
        <v>216</v>
      </c>
      <c r="D59" s="3" t="s">
        <v>217</v>
      </c>
      <c r="E59" s="2" t="s">
        <v>22</v>
      </c>
      <c r="F59" s="15" t="s">
        <v>327</v>
      </c>
      <c r="G59" s="6" t="s">
        <v>361</v>
      </c>
      <c r="H59" s="6" t="s">
        <v>23</v>
      </c>
      <c r="I59" s="17">
        <v>7</v>
      </c>
      <c r="J59" s="18">
        <f t="shared" si="0"/>
        <v>5.25</v>
      </c>
      <c r="K59" s="20">
        <v>8.5</v>
      </c>
      <c r="L59" s="25">
        <f t="shared" si="1"/>
        <v>7.1999999999999993</v>
      </c>
      <c r="M59" s="6"/>
      <c r="N59" s="5"/>
      <c r="O59" s="5"/>
      <c r="P59" s="5"/>
      <c r="Q59" s="5"/>
      <c r="R59" s="5"/>
      <c r="S59" s="5"/>
      <c r="T59" s="5"/>
      <c r="U59" s="5"/>
    </row>
    <row r="60" spans="1:24">
      <c r="A60" s="2" t="s">
        <v>218</v>
      </c>
      <c r="B60" s="2" t="s">
        <v>219</v>
      </c>
      <c r="C60" s="3" t="s">
        <v>220</v>
      </c>
      <c r="D60" s="3" t="s">
        <v>221</v>
      </c>
      <c r="E60" s="2" t="s">
        <v>10</v>
      </c>
      <c r="F60" s="15" t="s">
        <v>328</v>
      </c>
      <c r="G60" s="6" t="s">
        <v>357</v>
      </c>
      <c r="H60" s="6" t="s">
        <v>390</v>
      </c>
      <c r="I60" s="17">
        <v>8</v>
      </c>
      <c r="J60" s="18">
        <f t="shared" si="0"/>
        <v>5.8999999999999995</v>
      </c>
      <c r="K60" s="20">
        <v>4.5</v>
      </c>
      <c r="L60" s="25">
        <f t="shared" si="1"/>
        <v>5.0599999999999996</v>
      </c>
      <c r="M60" s="6"/>
      <c r="N60" s="5"/>
      <c r="O60" s="5"/>
      <c r="P60" s="5"/>
      <c r="Q60" s="5"/>
      <c r="R60" s="5"/>
      <c r="S60" s="5"/>
      <c r="T60" s="5"/>
      <c r="U60" s="5"/>
    </row>
    <row r="61" spans="1:24">
      <c r="A61" s="2" t="s">
        <v>222</v>
      </c>
      <c r="B61" s="2" t="s">
        <v>223</v>
      </c>
      <c r="C61" s="3" t="s">
        <v>150</v>
      </c>
      <c r="D61" s="3" t="s">
        <v>224</v>
      </c>
      <c r="E61" s="2" t="s">
        <v>10</v>
      </c>
      <c r="F61" s="15" t="s">
        <v>329</v>
      </c>
      <c r="G61" s="6" t="s">
        <v>363</v>
      </c>
      <c r="H61" s="6" t="s">
        <v>27</v>
      </c>
      <c r="I61" s="17">
        <v>7</v>
      </c>
      <c r="J61" s="18">
        <f t="shared" si="0"/>
        <v>5.916666666666667</v>
      </c>
      <c r="K61" s="20">
        <v>6.5</v>
      </c>
      <c r="L61" s="25">
        <f t="shared" si="1"/>
        <v>6.2666666666666666</v>
      </c>
      <c r="M61" s="6"/>
      <c r="N61" s="5" t="s">
        <v>342</v>
      </c>
      <c r="O61" s="5"/>
      <c r="P61" s="5"/>
      <c r="Q61" s="5"/>
      <c r="R61" s="5"/>
      <c r="S61" s="5" t="s">
        <v>342</v>
      </c>
      <c r="T61" s="5"/>
      <c r="U61" s="5" t="s">
        <v>374</v>
      </c>
    </row>
    <row r="62" spans="1:24">
      <c r="A62" s="2" t="s">
        <v>225</v>
      </c>
      <c r="B62" s="2" t="s">
        <v>226</v>
      </c>
      <c r="C62" s="3" t="s">
        <v>227</v>
      </c>
      <c r="D62" s="3" t="s">
        <v>228</v>
      </c>
      <c r="E62" s="2" t="s">
        <v>10</v>
      </c>
      <c r="F62" s="15" t="s">
        <v>330</v>
      </c>
      <c r="G62" s="6" t="s">
        <v>357</v>
      </c>
      <c r="H62" s="6" t="s">
        <v>357</v>
      </c>
      <c r="I62" s="17">
        <v>8</v>
      </c>
      <c r="J62" s="18">
        <f t="shared" si="0"/>
        <v>5.666666666666667</v>
      </c>
      <c r="K62" s="20">
        <v>6.5</v>
      </c>
      <c r="L62" s="25">
        <f t="shared" si="1"/>
        <v>6.166666666666667</v>
      </c>
      <c r="M62" s="6"/>
      <c r="N62" s="5"/>
      <c r="O62" s="5"/>
      <c r="P62" s="5"/>
      <c r="Q62" s="5"/>
      <c r="R62" s="5"/>
      <c r="S62" s="5"/>
      <c r="T62" s="5"/>
      <c r="U62" s="5"/>
    </row>
    <row r="63" spans="1:24">
      <c r="A63" s="2" t="s">
        <v>229</v>
      </c>
      <c r="B63" s="2" t="s">
        <v>230</v>
      </c>
      <c r="C63" s="3" t="s">
        <v>231</v>
      </c>
      <c r="D63" s="3" t="s">
        <v>232</v>
      </c>
      <c r="E63" s="2" t="s">
        <v>10</v>
      </c>
      <c r="F63" s="15" t="s">
        <v>331</v>
      </c>
      <c r="G63" s="6" t="s">
        <v>365</v>
      </c>
      <c r="H63" s="6" t="s">
        <v>391</v>
      </c>
      <c r="I63" s="17">
        <v>7</v>
      </c>
      <c r="J63" s="18">
        <f t="shared" si="0"/>
        <v>4.9833333333333334</v>
      </c>
      <c r="K63" s="20">
        <v>7</v>
      </c>
      <c r="L63" s="25">
        <f t="shared" si="1"/>
        <v>6.1933333333333334</v>
      </c>
      <c r="M63" s="6"/>
      <c r="N63" s="5" t="s">
        <v>346</v>
      </c>
      <c r="O63" s="5"/>
      <c r="P63" s="5"/>
      <c r="Q63" s="5" t="s">
        <v>354</v>
      </c>
      <c r="R63" s="5"/>
      <c r="S63" s="5"/>
      <c r="T63" s="5"/>
      <c r="U63" s="5"/>
    </row>
    <row r="64" spans="1:24">
      <c r="A64" s="2" t="s">
        <v>233</v>
      </c>
      <c r="B64" s="2" t="s">
        <v>234</v>
      </c>
      <c r="C64" s="3" t="s">
        <v>235</v>
      </c>
      <c r="D64" s="3" t="s">
        <v>236</v>
      </c>
      <c r="E64" s="2" t="s">
        <v>22</v>
      </c>
      <c r="F64" s="15" t="s">
        <v>332</v>
      </c>
      <c r="G64" s="6" t="s">
        <v>368</v>
      </c>
      <c r="H64" s="6" t="s">
        <v>357</v>
      </c>
      <c r="I64" s="17">
        <v>5</v>
      </c>
      <c r="J64" s="18">
        <f t="shared" si="0"/>
        <v>4.083333333333333</v>
      </c>
      <c r="K64" s="20">
        <v>6.5</v>
      </c>
      <c r="L64" s="25">
        <f t="shared" si="1"/>
        <v>5.5333333333333332</v>
      </c>
      <c r="M64" s="6" t="s">
        <v>342</v>
      </c>
      <c r="N64" s="5"/>
      <c r="O64" s="5" t="s">
        <v>342</v>
      </c>
      <c r="P64" s="5"/>
      <c r="Q64" s="5"/>
      <c r="R64" s="5" t="s">
        <v>346</v>
      </c>
      <c r="S64" s="5" t="s">
        <v>342</v>
      </c>
      <c r="T64" s="11" t="s">
        <v>352</v>
      </c>
      <c r="U64" s="5" t="s">
        <v>355</v>
      </c>
    </row>
    <row r="65" spans="1:21">
      <c r="A65" s="2" t="s">
        <v>237</v>
      </c>
      <c r="B65" s="2" t="s">
        <v>238</v>
      </c>
      <c r="C65" s="3" t="s">
        <v>239</v>
      </c>
      <c r="D65" s="3" t="s">
        <v>240</v>
      </c>
      <c r="E65" s="2" t="s">
        <v>22</v>
      </c>
      <c r="F65" s="15" t="s">
        <v>333</v>
      </c>
      <c r="G65" s="6" t="s">
        <v>11</v>
      </c>
      <c r="H65" s="6" t="s">
        <v>367</v>
      </c>
      <c r="I65" s="17">
        <v>6</v>
      </c>
      <c r="J65" s="18">
        <f t="shared" si="0"/>
        <v>3.8333333333333335</v>
      </c>
      <c r="K65" s="20">
        <v>7</v>
      </c>
      <c r="L65" s="25">
        <f t="shared" si="1"/>
        <v>5.7333333333333334</v>
      </c>
      <c r="M65" s="6"/>
      <c r="N65" s="5"/>
      <c r="O65" s="5" t="s">
        <v>352</v>
      </c>
      <c r="P65" s="5"/>
      <c r="Q65" s="5"/>
      <c r="R65" s="5"/>
      <c r="S65" s="5"/>
      <c r="T65" s="5"/>
      <c r="U65" s="5" t="s">
        <v>380</v>
      </c>
    </row>
    <row r="66" spans="1:21">
      <c r="A66" s="2" t="s">
        <v>241</v>
      </c>
      <c r="B66" s="2" t="s">
        <v>242</v>
      </c>
      <c r="C66" s="3" t="s">
        <v>243</v>
      </c>
      <c r="D66" s="3" t="s">
        <v>244</v>
      </c>
      <c r="E66" s="2" t="s">
        <v>170</v>
      </c>
      <c r="F66" s="15" t="s">
        <v>334</v>
      </c>
      <c r="G66" s="6" t="s">
        <v>361</v>
      </c>
      <c r="H66" s="6" t="s">
        <v>387</v>
      </c>
      <c r="I66" s="17">
        <v>7</v>
      </c>
      <c r="J66" s="18">
        <f t="shared" si="0"/>
        <v>4.9833333333333334</v>
      </c>
      <c r="K66" s="20">
        <v>6.5</v>
      </c>
      <c r="L66" s="25">
        <f t="shared" si="1"/>
        <v>5.8933333333333335</v>
      </c>
      <c r="M66" s="6" t="s">
        <v>342</v>
      </c>
      <c r="N66" s="5"/>
      <c r="O66" s="5"/>
      <c r="P66" s="5"/>
      <c r="Q66" s="5"/>
      <c r="R66" s="5"/>
      <c r="S66" s="5"/>
      <c r="T66" s="5"/>
      <c r="U66" s="5"/>
    </row>
    <row r="67" spans="1:21">
      <c r="A67" s="2" t="s">
        <v>245</v>
      </c>
      <c r="B67" s="2" t="s">
        <v>246</v>
      </c>
      <c r="C67" s="3" t="s">
        <v>247</v>
      </c>
      <c r="D67" s="3" t="s">
        <v>244</v>
      </c>
      <c r="E67" s="2" t="s">
        <v>10</v>
      </c>
      <c r="F67" s="15" t="s">
        <v>335</v>
      </c>
      <c r="G67" s="6" t="s">
        <v>360</v>
      </c>
      <c r="H67" s="6" t="s">
        <v>31</v>
      </c>
      <c r="I67" s="17">
        <v>9</v>
      </c>
      <c r="J67" s="18">
        <f t="shared" si="0"/>
        <v>7.166666666666667</v>
      </c>
      <c r="K67" s="20">
        <v>7</v>
      </c>
      <c r="L67" s="25">
        <f t="shared" si="1"/>
        <v>7.0666666666666673</v>
      </c>
      <c r="M67" s="9" t="s">
        <v>343</v>
      </c>
      <c r="N67" s="5"/>
      <c r="O67" s="5"/>
      <c r="P67" s="5"/>
      <c r="Q67" s="5"/>
      <c r="R67" s="5"/>
      <c r="S67" s="5"/>
      <c r="T67" s="5"/>
      <c r="U67" s="5"/>
    </row>
    <row r="68" spans="1:21">
      <c r="A68" s="2" t="s">
        <v>248</v>
      </c>
      <c r="B68" s="2" t="s">
        <v>249</v>
      </c>
      <c r="C68" s="3" t="s">
        <v>250</v>
      </c>
      <c r="D68" s="3" t="s">
        <v>251</v>
      </c>
      <c r="E68" s="2" t="s">
        <v>22</v>
      </c>
      <c r="F68" s="15" t="s">
        <v>336</v>
      </c>
      <c r="G68" s="6" t="s">
        <v>370</v>
      </c>
      <c r="H68" s="6" t="s">
        <v>369</v>
      </c>
      <c r="I68" s="17">
        <v>7</v>
      </c>
      <c r="J68" s="18">
        <f t="shared" si="0"/>
        <v>5.583333333333333</v>
      </c>
      <c r="K68" s="20">
        <v>7.5</v>
      </c>
      <c r="L68" s="25">
        <f t="shared" si="1"/>
        <v>6.7333333333333334</v>
      </c>
      <c r="M68" s="6" t="s">
        <v>342</v>
      </c>
      <c r="N68" s="5"/>
      <c r="O68" s="5" t="s">
        <v>346</v>
      </c>
      <c r="P68" s="5"/>
      <c r="Q68" s="5"/>
      <c r="R68" s="5"/>
      <c r="S68" s="5"/>
      <c r="T68" s="5"/>
      <c r="U68" s="5" t="s">
        <v>375</v>
      </c>
    </row>
    <row r="69" spans="1:21">
      <c r="A69" s="2" t="s">
        <v>252</v>
      </c>
      <c r="B69" s="2" t="s">
        <v>253</v>
      </c>
      <c r="C69" s="3" t="s">
        <v>254</v>
      </c>
      <c r="D69" s="3" t="s">
        <v>255</v>
      </c>
      <c r="E69" s="2" t="s">
        <v>22</v>
      </c>
      <c r="F69" s="15" t="s">
        <v>337</v>
      </c>
      <c r="G69" s="6" t="s">
        <v>367</v>
      </c>
      <c r="H69" s="6" t="s">
        <v>360</v>
      </c>
      <c r="I69" s="17">
        <v>7</v>
      </c>
      <c r="J69" s="18">
        <f t="shared" ref="J69:J73" si="2">(G69+H69+I69)/3</f>
        <v>5.333333333333333</v>
      </c>
      <c r="K69" s="20">
        <v>6</v>
      </c>
      <c r="L69" s="25">
        <f t="shared" ref="L69:L73" si="3">J69*0.4+K69*0.6</f>
        <v>5.7333333333333325</v>
      </c>
      <c r="M69" s="6"/>
      <c r="N69" s="5"/>
      <c r="O69" s="5"/>
      <c r="P69" s="5"/>
      <c r="Q69" s="5"/>
      <c r="R69" s="5"/>
      <c r="S69" s="5"/>
      <c r="T69" s="5"/>
      <c r="U69" s="5"/>
    </row>
    <row r="70" spans="1:21">
      <c r="A70" s="2" t="s">
        <v>256</v>
      </c>
      <c r="B70" s="2" t="s">
        <v>257</v>
      </c>
      <c r="C70" s="3" t="s">
        <v>258</v>
      </c>
      <c r="D70" s="3" t="s">
        <v>259</v>
      </c>
      <c r="E70" s="2" t="s">
        <v>10</v>
      </c>
      <c r="F70" s="15" t="s">
        <v>338</v>
      </c>
      <c r="G70" s="6" t="s">
        <v>359</v>
      </c>
      <c r="H70" s="6" t="s">
        <v>386</v>
      </c>
      <c r="I70" s="17">
        <v>8</v>
      </c>
      <c r="J70" s="18">
        <f t="shared" si="2"/>
        <v>6.1499999999999995</v>
      </c>
      <c r="K70" s="20">
        <v>6.5</v>
      </c>
      <c r="L70" s="25">
        <f t="shared" si="3"/>
        <v>6.3599999999999994</v>
      </c>
      <c r="M70" s="6"/>
      <c r="N70" s="5"/>
      <c r="O70" s="5" t="s">
        <v>342</v>
      </c>
      <c r="P70" s="5"/>
      <c r="Q70" s="5"/>
      <c r="R70" s="5"/>
      <c r="S70" s="5"/>
      <c r="T70" s="5"/>
      <c r="U70" s="5"/>
    </row>
    <row r="71" spans="1:21">
      <c r="A71" s="2" t="s">
        <v>260</v>
      </c>
      <c r="B71" s="2" t="s">
        <v>261</v>
      </c>
      <c r="C71" s="3" t="s">
        <v>262</v>
      </c>
      <c r="D71" s="3" t="s">
        <v>263</v>
      </c>
      <c r="E71" s="2" t="s">
        <v>10</v>
      </c>
      <c r="F71" s="15" t="s">
        <v>339</v>
      </c>
      <c r="G71" s="6" t="s">
        <v>364</v>
      </c>
      <c r="H71" s="6" t="s">
        <v>31</v>
      </c>
      <c r="I71" s="17">
        <v>9</v>
      </c>
      <c r="J71" s="18">
        <f t="shared" si="2"/>
        <v>7.833333333333333</v>
      </c>
      <c r="K71" s="20">
        <v>8.5</v>
      </c>
      <c r="L71" s="25">
        <f t="shared" si="3"/>
        <v>8.2333333333333325</v>
      </c>
      <c r="M71" s="6"/>
      <c r="N71" s="5"/>
      <c r="O71" s="5"/>
      <c r="P71" s="5"/>
      <c r="Q71" s="5"/>
      <c r="R71" s="5"/>
      <c r="S71" s="5"/>
      <c r="T71" s="5"/>
      <c r="U71" s="5"/>
    </row>
    <row r="72" spans="1:21">
      <c r="A72" s="2" t="s">
        <v>264</v>
      </c>
      <c r="B72" s="2" t="s">
        <v>265</v>
      </c>
      <c r="C72" s="3" t="s">
        <v>266</v>
      </c>
      <c r="D72" s="3" t="s">
        <v>263</v>
      </c>
      <c r="E72" s="2" t="s">
        <v>43</v>
      </c>
      <c r="F72" s="15" t="s">
        <v>340</v>
      </c>
      <c r="G72" s="6" t="s">
        <v>365</v>
      </c>
      <c r="H72" s="6" t="s">
        <v>357</v>
      </c>
      <c r="I72" s="17">
        <v>8</v>
      </c>
      <c r="J72" s="18">
        <f t="shared" si="2"/>
        <v>5.583333333333333</v>
      </c>
      <c r="K72" s="20">
        <v>7.5</v>
      </c>
      <c r="L72" s="25">
        <f t="shared" si="3"/>
        <v>6.7333333333333334</v>
      </c>
      <c r="M72" s="6"/>
      <c r="N72" s="5"/>
      <c r="O72" s="5"/>
      <c r="P72" s="5"/>
      <c r="Q72" s="5"/>
      <c r="R72" s="5"/>
      <c r="S72" s="5" t="s">
        <v>342</v>
      </c>
      <c r="T72" s="5"/>
      <c r="U72" s="5"/>
    </row>
    <row r="73" spans="1:21">
      <c r="A73" s="2" t="s">
        <v>267</v>
      </c>
      <c r="B73" s="2" t="s">
        <v>268</v>
      </c>
      <c r="C73" s="3" t="s">
        <v>269</v>
      </c>
      <c r="D73" s="3" t="s">
        <v>270</v>
      </c>
      <c r="E73" s="2" t="s">
        <v>271</v>
      </c>
      <c r="F73" s="15" t="s">
        <v>341</v>
      </c>
      <c r="G73" s="6"/>
      <c r="H73" s="6"/>
      <c r="I73" s="17">
        <v>0</v>
      </c>
      <c r="J73" s="18">
        <f t="shared" si="2"/>
        <v>0</v>
      </c>
      <c r="K73" s="20"/>
      <c r="L73" s="25">
        <f t="shared" si="3"/>
        <v>0</v>
      </c>
      <c r="M73" s="6" t="s">
        <v>342</v>
      </c>
      <c r="N73" s="5" t="s">
        <v>342</v>
      </c>
      <c r="O73" s="5" t="s">
        <v>342</v>
      </c>
      <c r="P73" s="5" t="s">
        <v>342</v>
      </c>
      <c r="Q73" s="5"/>
      <c r="R73" s="5"/>
      <c r="S73" s="5" t="s">
        <v>342</v>
      </c>
      <c r="T73" s="5" t="s">
        <v>342</v>
      </c>
      <c r="U73" s="5" t="s">
        <v>342</v>
      </c>
    </row>
    <row r="78" spans="1:21">
      <c r="P78">
        <f>15/20</f>
        <v>0.75</v>
      </c>
    </row>
  </sheetData>
  <phoneticPr fontId="21" type="noConversion"/>
  <pageMargins left="0.75" right="0.75" top="1" bottom="1" header="0.5" footer="0.5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609600</xdr:colOff>
                <xdr:row>2</xdr:row>
                <xdr:rowOff>28575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TRỌNG ĐỨC</dc:creator>
  <cp:lastModifiedBy>Admin</cp:lastModifiedBy>
  <dcterms:created xsi:type="dcterms:W3CDTF">2021-07-09T08:55:49Z</dcterms:created>
  <dcterms:modified xsi:type="dcterms:W3CDTF">2021-08-24T01:29:11Z</dcterms:modified>
</cp:coreProperties>
</file>